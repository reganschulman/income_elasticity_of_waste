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5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Projects\income_elasticity_of_municipal_waste\data\"/>
    </mc:Choice>
  </mc:AlternateContent>
  <xr:revisionPtr revIDLastSave="0" documentId="8_{D7EAA5C9-34A4-4B66-8597-B5752AEFB3D1}" xr6:coauthVersionLast="47" xr6:coauthVersionMax="47" xr10:uidLastSave="{00000000-0000-0000-0000-000000000000}"/>
  <bookViews>
    <workbookView xWindow="-28920" yWindow="-120" windowWidth="29040" windowHeight="15720" tabRatio="729" xr2:uid="{CB6414FA-3BA1-493F-B0AA-900E14DD32F3}"/>
  </bookViews>
  <sheets>
    <sheet name="Facility List" sheetId="8" r:id="rId1"/>
    <sheet name="Landfill-County" sheetId="2" r:id="rId2"/>
    <sheet name="Region-County" sheetId="4" r:id="rId3"/>
    <sheet name="Municipal Waste" sheetId="3" r:id="rId4"/>
    <sheet name="inc_pop_den" sheetId="11" r:id="rId5"/>
    <sheet name="Work Data" sheetId="10" r:id="rId6"/>
    <sheet name="correllog" sheetId="29" r:id="rId7"/>
    <sheet name="Descriptive Statistics" sheetId="15" r:id="rId8"/>
    <sheet name="For print" sheetId="27" r:id="rId9"/>
    <sheet name="DS Chart" sheetId="16" r:id="rId10"/>
    <sheet name="Correlation Chart" sheetId="17" r:id="rId11"/>
    <sheet name="Box and Whisker" sheetId="22" r:id="rId12"/>
    <sheet name="BW Data" sheetId="21" r:id="rId13"/>
    <sheet name="Pivot" sheetId="18" r:id="rId14"/>
    <sheet name="Freq Dist Chart" sheetId="20" r:id="rId15"/>
    <sheet name="PairWiase Data" sheetId="23" r:id="rId16"/>
    <sheet name="Group logs" sheetId="12" r:id="rId17"/>
    <sheet name="ANOVA" sheetId="28" r:id="rId18"/>
    <sheet name="Log Correlations" sheetId="25" r:id="rId19"/>
    <sheet name="Overall LN Scat" sheetId="26" r:id="rId20"/>
    <sheet name="LN Group Scat" sheetId="24" r:id="rId21"/>
  </sheets>
  <definedNames>
    <definedName name="_xlnm._FilterDatabase" localSheetId="7" hidden="1">'Descriptive Statistics'!$A$1:$A$81</definedName>
    <definedName name="_xlnm._FilterDatabase" localSheetId="3" hidden="1">'Municipal Waste'!$A$1:$F$716</definedName>
    <definedName name="_xlnm._FilterDatabase" localSheetId="2" hidden="1">'Region-County'!$C$1:$C$255</definedName>
    <definedName name="_xlnm._FilterDatabase" localSheetId="5" hidden="1">'Work Data'!$A$1:$H$81</definedName>
    <definedName name="_xlchart.v1.0" hidden="1">'BW Data'!$B$1</definedName>
    <definedName name="_xlchart.v1.1" hidden="1">'BW Data'!$B$2:$B$28</definedName>
    <definedName name="_xlchart.v1.10" hidden="1">'BW Data'!$D$1</definedName>
    <definedName name="_xlchart.v1.11" hidden="1">'BW Data'!$D$2:$D$28</definedName>
    <definedName name="_xlchart.v1.2" hidden="1">'BW Data'!$C$1</definedName>
    <definedName name="_xlchart.v1.3" hidden="1">'BW Data'!$C$2:$C$28</definedName>
    <definedName name="_xlchart.v1.4" hidden="1">'BW Data'!$D$1</definedName>
    <definedName name="_xlchart.v1.5" hidden="1">'BW Data'!$D$2:$D$28</definedName>
    <definedName name="_xlchart.v1.6" hidden="1">'BW Data'!$B$1</definedName>
    <definedName name="_xlchart.v1.7" hidden="1">'BW Data'!$B$2:$B$28</definedName>
    <definedName name="_xlchart.v1.8" hidden="1">'BW Data'!$C$1</definedName>
    <definedName name="_xlchart.v1.9" hidden="1">'BW Data'!$C$2:$C$28</definedName>
    <definedName name="inc_pop_den">inc_pop_den!$A$1:$H$81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5" l="1"/>
  <c r="H47" i="23"/>
  <c r="M6" i="15" a="1"/>
  <c r="M6" i="15" s="1"/>
  <c r="G17" i="25"/>
  <c r="G45" i="25"/>
  <c r="I40" i="25"/>
  <c r="I41" i="25"/>
  <c r="I39" i="25"/>
  <c r="F29" i="25"/>
  <c r="G16" i="25"/>
  <c r="G18" i="25"/>
  <c r="F8" i="25" a="1"/>
  <c r="F8" i="25" s="1"/>
  <c r="F18" i="25" s="1"/>
  <c r="H18" i="25" s="1"/>
  <c r="F7" i="25" a="1"/>
  <c r="F7" i="25" s="1"/>
  <c r="F6" i="25" a="1"/>
  <c r="F6" i="25" s="1"/>
  <c r="F16" i="25" s="1"/>
  <c r="F5" i="25"/>
  <c r="F15" i="25" s="1"/>
  <c r="N3" i="12"/>
  <c r="M3" i="12"/>
  <c r="F17" i="25" l="1"/>
  <c r="I7" i="25"/>
  <c r="I42" i="25"/>
  <c r="H16" i="25"/>
  <c r="H15" i="25"/>
  <c r="G39" i="25"/>
  <c r="G40" i="25"/>
  <c r="G41" i="25"/>
  <c r="H17" i="25"/>
  <c r="I8" i="25"/>
  <c r="H41" i="25" s="1"/>
  <c r="J41" i="25" s="1"/>
  <c r="K41" i="25" s="1"/>
  <c r="G5" i="25"/>
  <c r="G7" i="25"/>
  <c r="G6" i="25"/>
  <c r="I6" i="25"/>
  <c r="H39" i="25" s="1"/>
  <c r="J39" i="25" s="1"/>
  <c r="G8" i="25"/>
  <c r="F25" i="25" l="1"/>
  <c r="K39" i="25"/>
  <c r="G26" i="25"/>
  <c r="G34" i="25" s="1"/>
  <c r="H40" i="25"/>
  <c r="J40" i="25" s="1"/>
  <c r="K40" i="25" s="1"/>
  <c r="F26" i="25"/>
  <c r="F34" i="25" s="1"/>
  <c r="F33" i="25"/>
  <c r="K42" i="25" l="1"/>
  <c r="K43" i="25" s="1"/>
  <c r="J42" i="25"/>
  <c r="I48" i="23"/>
  <c r="I53" i="23" s="1"/>
  <c r="H53" i="23"/>
  <c r="H52" i="23"/>
  <c r="I43" i="23"/>
  <c r="H43" i="23"/>
  <c r="H42" i="23"/>
  <c r="P20" i="23" s="1" a="1"/>
  <c r="P20" i="23" s="1"/>
  <c r="P21" i="23" s="1"/>
  <c r="X20" i="23"/>
  <c r="X22" i="23" s="1"/>
  <c r="T20" i="23"/>
  <c r="T21" i="23" s="1"/>
  <c r="P22" i="23" l="1"/>
  <c r="T22" i="23"/>
  <c r="X21" i="23"/>
  <c r="G44" i="25"/>
  <c r="G46" i="25" s="1"/>
  <c r="I14" i="23"/>
  <c r="H14" i="23"/>
  <c r="H13" i="23"/>
  <c r="I4" i="23"/>
  <c r="H4" i="23"/>
  <c r="I8" i="23"/>
  <c r="H8" i="23"/>
  <c r="G8" i="23"/>
  <c r="G4" i="23"/>
  <c r="O69" i="15"/>
  <c r="P69" i="15"/>
  <c r="O70" i="15"/>
  <c r="P70" i="15"/>
  <c r="P68" i="15"/>
  <c r="O68" i="15"/>
  <c r="M69" i="15"/>
  <c r="M70" i="15"/>
  <c r="M68" i="15"/>
  <c r="L69" i="15"/>
  <c r="L70" i="15"/>
  <c r="L68" i="15"/>
  <c r="J69" i="15"/>
  <c r="J70" i="15"/>
  <c r="J68" i="15"/>
  <c r="I69" i="15"/>
  <c r="I70" i="15"/>
  <c r="I68" i="15"/>
  <c r="K62" i="15"/>
  <c r="K61" i="15"/>
  <c r="M63" i="15"/>
  <c r="N63" i="15" s="1"/>
  <c r="M62" i="15"/>
  <c r="M61" i="15"/>
  <c r="K63" i="15"/>
  <c r="H62" i="15"/>
  <c r="H63" i="15"/>
  <c r="I62" i="15"/>
  <c r="I63" i="15"/>
  <c r="H61" i="15"/>
  <c r="I61" i="15"/>
  <c r="R37" i="15"/>
  <c r="S37" i="15"/>
  <c r="T37" i="15"/>
  <c r="R38" i="15"/>
  <c r="S38" i="15"/>
  <c r="T38" i="15"/>
  <c r="R39" i="15"/>
  <c r="S39" i="15"/>
  <c r="T39" i="15"/>
  <c r="S36" i="15"/>
  <c r="T36" i="15"/>
  <c r="R36" i="15"/>
  <c r="P39" i="15"/>
  <c r="Q39" i="15"/>
  <c r="P37" i="15"/>
  <c r="Q37" i="15"/>
  <c r="P38" i="15"/>
  <c r="Q38" i="15"/>
  <c r="P36" i="15"/>
  <c r="Q36" i="15"/>
  <c r="O37" i="15"/>
  <c r="O38" i="15"/>
  <c r="O39" i="15"/>
  <c r="O36" i="15"/>
  <c r="B31" i="18"/>
  <c r="B32" i="18"/>
  <c r="B33" i="18"/>
  <c r="B34" i="18"/>
  <c r="B35" i="18"/>
  <c r="B36" i="18"/>
  <c r="B37" i="18"/>
  <c r="B38" i="18"/>
  <c r="E31" i="18"/>
  <c r="E32" i="18"/>
  <c r="E33" i="18"/>
  <c r="E34" i="18"/>
  <c r="E35" i="18"/>
  <c r="E36" i="18"/>
  <c r="E37" i="18"/>
  <c r="E38" i="18"/>
  <c r="C31" i="18"/>
  <c r="C32" i="18"/>
  <c r="C33" i="18"/>
  <c r="C34" i="18"/>
  <c r="C35" i="18"/>
  <c r="C36" i="18"/>
  <c r="C37" i="18"/>
  <c r="C38" i="18"/>
  <c r="D31" i="18"/>
  <c r="D32" i="18"/>
  <c r="D33" i="18"/>
  <c r="D34" i="18"/>
  <c r="D35" i="18"/>
  <c r="D36" i="18"/>
  <c r="D37" i="18"/>
  <c r="D38" i="18"/>
  <c r="E30" i="18"/>
  <c r="D30" i="18"/>
  <c r="C30" i="18"/>
  <c r="B30" i="18"/>
  <c r="M7" i="15" a="1"/>
  <c r="M7" i="15" s="1"/>
  <c r="M8" i="15" a="1"/>
  <c r="M8" i="15" s="1"/>
  <c r="M5" i="15"/>
  <c r="L7" i="15" a="1"/>
  <c r="L7" i="15" s="1"/>
  <c r="G39" i="15" s="1"/>
  <c r="H39" i="15" s="1"/>
  <c r="L8" i="15" a="1"/>
  <c r="L8" i="15" s="1"/>
  <c r="G40" i="15" s="1"/>
  <c r="L6" i="15" a="1"/>
  <c r="L6" i="15" s="1"/>
  <c r="G38" i="15" s="1"/>
  <c r="L5" i="15"/>
  <c r="G37" i="15" s="1"/>
  <c r="K7" i="15" a="1"/>
  <c r="K7" i="15" s="1"/>
  <c r="K8" i="15" a="1"/>
  <c r="K8" i="15" s="1"/>
  <c r="K6" i="15" a="1"/>
  <c r="K6" i="15" s="1"/>
  <c r="K5" i="15"/>
  <c r="J7" i="15" a="1"/>
  <c r="J7" i="15" s="1"/>
  <c r="J8" i="15" a="1"/>
  <c r="J8" i="15" s="1"/>
  <c r="J6" i="15" a="1"/>
  <c r="J6" i="15" s="1"/>
  <c r="J5" i="15"/>
  <c r="I7" i="15" a="1"/>
  <c r="I7" i="15" s="1"/>
  <c r="I8" i="15" a="1"/>
  <c r="I8" i="15" s="1"/>
  <c r="I6" i="15" a="1"/>
  <c r="I6" i="15" s="1"/>
  <c r="I5" i="15"/>
  <c r="H7" i="15" a="1"/>
  <c r="H7" i="15" s="1"/>
  <c r="H8" i="15" a="1"/>
  <c r="H8" i="15" s="1"/>
  <c r="H6" i="15" a="1"/>
  <c r="H6" i="15" s="1"/>
  <c r="H5" i="15"/>
  <c r="G7" i="15" a="1"/>
  <c r="G7" i="15" s="1"/>
  <c r="U15" i="15" s="1"/>
  <c r="G8" i="15" a="1"/>
  <c r="G8" i="15" s="1"/>
  <c r="U16" i="15" s="1"/>
  <c r="G6" i="15" a="1"/>
  <c r="G6" i="15" s="1"/>
  <c r="U14" i="15" s="1"/>
  <c r="G5" i="15"/>
  <c r="U13" i="15" s="1"/>
  <c r="L62" i="15" l="1"/>
  <c r="H19" i="23"/>
  <c r="H25" i="23" s="1"/>
  <c r="H20" i="23"/>
  <c r="H26" i="23" s="1"/>
  <c r="I20" i="23"/>
  <c r="I26" i="23" s="1"/>
  <c r="J61" i="15"/>
  <c r="N62" i="15"/>
  <c r="J63" i="15"/>
  <c r="G69" i="15"/>
  <c r="S69" i="15"/>
  <c r="L61" i="15"/>
  <c r="L63" i="15"/>
  <c r="J62" i="15"/>
  <c r="G68" i="15"/>
  <c r="N61" i="15"/>
  <c r="G70" i="15"/>
  <c r="I37" i="15"/>
  <c r="J37" i="15"/>
  <c r="K37" i="15"/>
  <c r="L37" i="15"/>
  <c r="M37" i="15"/>
  <c r="H37" i="15"/>
  <c r="X13" i="15"/>
  <c r="V13" i="15"/>
  <c r="W13" i="15"/>
  <c r="X16" i="15"/>
  <c r="V16" i="15"/>
  <c r="W16" i="15"/>
  <c r="X15" i="15"/>
  <c r="V15" i="15"/>
  <c r="W15" i="15"/>
  <c r="H38" i="15"/>
  <c r="I38" i="15"/>
  <c r="J38" i="15"/>
  <c r="K38" i="15"/>
  <c r="L38" i="15"/>
  <c r="M38" i="15"/>
  <c r="V14" i="15"/>
  <c r="X14" i="15"/>
  <c r="W14" i="15"/>
  <c r="L40" i="15"/>
  <c r="M40" i="15"/>
  <c r="H40" i="15"/>
  <c r="I40" i="15"/>
  <c r="J40" i="15"/>
  <c r="K40" i="15"/>
  <c r="J39" i="15"/>
  <c r="K39" i="15"/>
  <c r="L39" i="15"/>
  <c r="M39" i="15"/>
  <c r="I39" i="15"/>
  <c r="T13" i="15"/>
  <c r="T16" i="15"/>
  <c r="T15" i="15"/>
  <c r="T14" i="15"/>
  <c r="T29" i="12"/>
  <c r="S29" i="12"/>
  <c r="Q29" i="12"/>
  <c r="P29" i="12"/>
  <c r="T28" i="12"/>
  <c r="S28" i="12"/>
  <c r="T27" i="12"/>
  <c r="S27" i="12"/>
  <c r="T26" i="12"/>
  <c r="S26" i="12"/>
  <c r="T25" i="12"/>
  <c r="S25" i="12"/>
  <c r="T24" i="12"/>
  <c r="S24" i="12"/>
  <c r="T23" i="12"/>
  <c r="S23" i="12"/>
  <c r="T22" i="12"/>
  <c r="S22" i="12"/>
  <c r="T21" i="12"/>
  <c r="S21" i="12"/>
  <c r="T20" i="12"/>
  <c r="S20" i="12"/>
  <c r="T19" i="12"/>
  <c r="S19" i="12"/>
  <c r="T18" i="12"/>
  <c r="S18" i="12"/>
  <c r="T17" i="12"/>
  <c r="S17" i="12"/>
  <c r="T16" i="12"/>
  <c r="S16" i="12"/>
  <c r="T15" i="12"/>
  <c r="S15" i="12"/>
  <c r="T14" i="12"/>
  <c r="S14" i="12"/>
  <c r="T13" i="12"/>
  <c r="S13" i="12"/>
  <c r="T12" i="12"/>
  <c r="S12" i="12"/>
  <c r="T11" i="12"/>
  <c r="S11" i="12"/>
  <c r="T10" i="12"/>
  <c r="S10" i="12"/>
  <c r="T9" i="12"/>
  <c r="S9" i="12"/>
  <c r="T8" i="12"/>
  <c r="S8" i="12"/>
  <c r="T7" i="12"/>
  <c r="S7" i="12"/>
  <c r="T6" i="12"/>
  <c r="S6" i="12"/>
  <c r="T5" i="12"/>
  <c r="S5" i="12"/>
  <c r="T4" i="12"/>
  <c r="S4" i="12"/>
  <c r="T3" i="12"/>
  <c r="S3" i="12"/>
  <c r="Q28" i="12"/>
  <c r="P28" i="12"/>
  <c r="Q27" i="12"/>
  <c r="P27" i="12"/>
  <c r="Q26" i="12"/>
  <c r="P26" i="12"/>
  <c r="Q25" i="12"/>
  <c r="P25" i="12"/>
  <c r="Q24" i="12"/>
  <c r="P24" i="12"/>
  <c r="Q23" i="12"/>
  <c r="P23" i="12"/>
  <c r="Q22" i="12"/>
  <c r="P22" i="12"/>
  <c r="Q21" i="12"/>
  <c r="P21" i="12"/>
  <c r="Q20" i="12"/>
  <c r="P20" i="12"/>
  <c r="Q19" i="12"/>
  <c r="P19" i="12"/>
  <c r="Q18" i="12"/>
  <c r="P18" i="12"/>
  <c r="Q17" i="12"/>
  <c r="P17" i="12"/>
  <c r="Q16" i="12"/>
  <c r="P16" i="12"/>
  <c r="Q15" i="12"/>
  <c r="P15" i="12"/>
  <c r="Q14" i="12"/>
  <c r="P14" i="12"/>
  <c r="Q13" i="12"/>
  <c r="P13" i="12"/>
  <c r="Q12" i="12"/>
  <c r="P12" i="12"/>
  <c r="Q11" i="12"/>
  <c r="P11" i="12"/>
  <c r="Q10" i="12"/>
  <c r="P10" i="12"/>
  <c r="Q9" i="12"/>
  <c r="P9" i="12"/>
  <c r="Q8" i="12"/>
  <c r="P8" i="12"/>
  <c r="Q7" i="12"/>
  <c r="P7" i="12"/>
  <c r="Q6" i="12"/>
  <c r="P6" i="12"/>
  <c r="Q5" i="12"/>
  <c r="P5" i="12"/>
  <c r="Q4" i="12"/>
  <c r="P4" i="12"/>
  <c r="Q3" i="12"/>
  <c r="P3" i="12"/>
  <c r="M4" i="12"/>
  <c r="N4" i="12"/>
  <c r="M5" i="12"/>
  <c r="N5" i="12"/>
  <c r="M6" i="12"/>
  <c r="N6" i="12"/>
  <c r="M7" i="12"/>
  <c r="N7" i="12"/>
  <c r="M8" i="12"/>
  <c r="N8" i="12"/>
  <c r="M9" i="12"/>
  <c r="N9" i="12"/>
  <c r="M10" i="12"/>
  <c r="N10" i="12"/>
  <c r="M11" i="12"/>
  <c r="N11" i="12"/>
  <c r="M12" i="12"/>
  <c r="N12" i="12"/>
  <c r="M13" i="12"/>
  <c r="N13" i="12"/>
  <c r="M14" i="12"/>
  <c r="N14" i="12"/>
  <c r="M15" i="12"/>
  <c r="N15" i="12"/>
  <c r="M16" i="12"/>
  <c r="N16" i="12"/>
  <c r="M17" i="12"/>
  <c r="N17" i="12"/>
  <c r="M18" i="12"/>
  <c r="N18" i="12"/>
  <c r="M19" i="12"/>
  <c r="N19" i="12"/>
  <c r="M20" i="12"/>
  <c r="N20" i="12"/>
  <c r="M21" i="12"/>
  <c r="N21" i="12"/>
  <c r="M22" i="12"/>
  <c r="N22" i="12"/>
  <c r="M23" i="12"/>
  <c r="N23" i="12"/>
  <c r="M24" i="12"/>
  <c r="N24" i="12"/>
  <c r="M25" i="12"/>
  <c r="N25" i="12"/>
  <c r="M26" i="12"/>
  <c r="N26" i="12"/>
  <c r="M27" i="12"/>
  <c r="N27" i="12"/>
  <c r="M28" i="12"/>
  <c r="N28" i="12"/>
  <c r="H70" i="15" l="1"/>
  <c r="H68" i="15"/>
  <c r="Q68" i="15" s="1"/>
  <c r="N68" i="15"/>
  <c r="K68" i="15"/>
  <c r="Q70" i="15"/>
  <c r="N70" i="15"/>
  <c r="K70" i="15"/>
  <c r="H69" i="15"/>
  <c r="R14" i="15"/>
  <c r="P14" i="15"/>
  <c r="Q14" i="15"/>
  <c r="Q15" i="15"/>
  <c r="R15" i="15"/>
  <c r="P15" i="15"/>
  <c r="Q16" i="15"/>
  <c r="R16" i="15"/>
  <c r="P16" i="15"/>
  <c r="Q13" i="15"/>
  <c r="R13" i="15"/>
  <c r="P13" i="15"/>
  <c r="P3" i="11"/>
  <c r="O3" i="1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2" i="10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2" i="3"/>
  <c r="I8" i="11" l="1"/>
  <c r="I79" i="11"/>
  <c r="I77" i="11"/>
  <c r="I71" i="11"/>
  <c r="I38" i="11"/>
  <c r="I31" i="11"/>
  <c r="I30" i="11"/>
  <c r="I78" i="11"/>
  <c r="I37" i="11"/>
  <c r="I70" i="11"/>
  <c r="I29" i="11"/>
  <c r="I69" i="11"/>
  <c r="I23" i="11"/>
  <c r="I63" i="11"/>
  <c r="I22" i="11"/>
  <c r="I62" i="11"/>
  <c r="I15" i="11"/>
  <c r="I61" i="11"/>
  <c r="I14" i="11"/>
  <c r="I55" i="11"/>
  <c r="I7" i="11"/>
  <c r="I54" i="11"/>
  <c r="I6" i="11"/>
  <c r="I53" i="11"/>
  <c r="I47" i="11"/>
  <c r="I46" i="11"/>
  <c r="I45" i="11"/>
  <c r="I39" i="11"/>
  <c r="Q69" i="15"/>
  <c r="N69" i="15"/>
  <c r="K69" i="15"/>
  <c r="F77" i="10"/>
  <c r="BA77" i="10" s="1"/>
  <c r="H69" i="10"/>
  <c r="BC69" i="10" s="1"/>
  <c r="BD69" i="10" s="1"/>
  <c r="F61" i="10"/>
  <c r="BA61" i="10" s="1"/>
  <c r="H53" i="10"/>
  <c r="BC53" i="10" s="1"/>
  <c r="BD53" i="10" s="1"/>
  <c r="F45" i="10"/>
  <c r="BA45" i="10" s="1"/>
  <c r="H37" i="10"/>
  <c r="BC37" i="10" s="1"/>
  <c r="BD37" i="10" s="1"/>
  <c r="F29" i="10"/>
  <c r="BA29" i="10" s="1"/>
  <c r="H21" i="10"/>
  <c r="BC21" i="10" s="1"/>
  <c r="BD21" i="10" s="1"/>
  <c r="H5" i="10"/>
  <c r="BC5" i="10" s="1"/>
  <c r="BD5" i="10" s="1"/>
  <c r="J16" i="15"/>
  <c r="M16" i="15"/>
  <c r="E76" i="10"/>
  <c r="G76" i="10" s="1"/>
  <c r="BB76" i="10" s="1"/>
  <c r="H68" i="10"/>
  <c r="BC68" i="10" s="1"/>
  <c r="BD68" i="10" s="1"/>
  <c r="E60" i="10"/>
  <c r="G60" i="10" s="1"/>
  <c r="BB60" i="10" s="1"/>
  <c r="H52" i="10"/>
  <c r="BC52" i="10" s="1"/>
  <c r="BD52" i="10" s="1"/>
  <c r="E44" i="10"/>
  <c r="G44" i="10" s="1"/>
  <c r="BB44" i="10" s="1"/>
  <c r="H36" i="10"/>
  <c r="BC36" i="10" s="1"/>
  <c r="BD36" i="10" s="1"/>
  <c r="E28" i="10"/>
  <c r="G28" i="10" s="1"/>
  <c r="BB28" i="10" s="1"/>
  <c r="H20" i="10"/>
  <c r="BC20" i="10" s="1"/>
  <c r="BD20" i="10" s="1"/>
  <c r="E12" i="10"/>
  <c r="G12" i="10" s="1"/>
  <c r="BB12" i="10" s="1"/>
  <c r="H4" i="10"/>
  <c r="BC4" i="10" s="1"/>
  <c r="BD4" i="10" s="1"/>
  <c r="L16" i="15"/>
  <c r="I16" i="15"/>
  <c r="H75" i="10"/>
  <c r="BC75" i="10" s="1"/>
  <c r="BD75" i="10" s="1"/>
  <c r="H67" i="10"/>
  <c r="BC67" i="10" s="1"/>
  <c r="BD67" i="10" s="1"/>
  <c r="H59" i="10"/>
  <c r="BC59" i="10" s="1"/>
  <c r="BD59" i="10" s="1"/>
  <c r="H51" i="10"/>
  <c r="BC51" i="10" s="1"/>
  <c r="BD51" i="10" s="1"/>
  <c r="H43" i="10"/>
  <c r="BC43" i="10" s="1"/>
  <c r="BD43" i="10" s="1"/>
  <c r="H35" i="10"/>
  <c r="BC35" i="10" s="1"/>
  <c r="BD35" i="10" s="1"/>
  <c r="H27" i="10"/>
  <c r="BC27" i="10" s="1"/>
  <c r="BD27" i="10" s="1"/>
  <c r="H19" i="10"/>
  <c r="BC19" i="10" s="1"/>
  <c r="BD19" i="10" s="1"/>
  <c r="H11" i="10"/>
  <c r="BC11" i="10" s="1"/>
  <c r="BD11" i="10" s="1"/>
  <c r="H3" i="10"/>
  <c r="BC3" i="10" s="1"/>
  <c r="BD3" i="10" s="1"/>
  <c r="I21" i="11"/>
  <c r="I13" i="11"/>
  <c r="F13" i="10" s="1"/>
  <c r="BA13" i="10" s="1"/>
  <c r="I5" i="11"/>
  <c r="H15" i="15"/>
  <c r="K15" i="15"/>
  <c r="H2" i="10"/>
  <c r="BC2" i="10" s="1"/>
  <c r="BD2" i="10" s="1"/>
  <c r="H74" i="10"/>
  <c r="BC74" i="10" s="1"/>
  <c r="BD74" i="10" s="1"/>
  <c r="H66" i="10"/>
  <c r="BC66" i="10" s="1"/>
  <c r="BD66" i="10" s="1"/>
  <c r="H58" i="10"/>
  <c r="BC58" i="10" s="1"/>
  <c r="BD58" i="10" s="1"/>
  <c r="H50" i="10"/>
  <c r="BC50" i="10" s="1"/>
  <c r="BD50" i="10" s="1"/>
  <c r="H42" i="10"/>
  <c r="BC42" i="10" s="1"/>
  <c r="BD42" i="10" s="1"/>
  <c r="H34" i="10"/>
  <c r="BC34" i="10" s="1"/>
  <c r="BD34" i="10" s="1"/>
  <c r="H26" i="10"/>
  <c r="BC26" i="10" s="1"/>
  <c r="BD26" i="10" s="1"/>
  <c r="H18" i="10"/>
  <c r="BC18" i="10" s="1"/>
  <c r="BD18" i="10" s="1"/>
  <c r="H10" i="10"/>
  <c r="BC10" i="10" s="1"/>
  <c r="BD10" i="10" s="1"/>
  <c r="I76" i="11"/>
  <c r="I68" i="11"/>
  <c r="I60" i="11"/>
  <c r="F60" i="10" s="1"/>
  <c r="BA60" i="10" s="1"/>
  <c r="I52" i="11"/>
  <c r="I44" i="11"/>
  <c r="I36" i="11"/>
  <c r="I28" i="11"/>
  <c r="F28" i="10" s="1"/>
  <c r="BA28" i="10" s="1"/>
  <c r="I20" i="11"/>
  <c r="F20" i="10" s="1"/>
  <c r="BA20" i="10" s="1"/>
  <c r="I12" i="11"/>
  <c r="I4" i="11"/>
  <c r="J15" i="15"/>
  <c r="M15" i="15"/>
  <c r="I75" i="11"/>
  <c r="F75" i="10" s="1"/>
  <c r="BA75" i="10" s="1"/>
  <c r="I67" i="11"/>
  <c r="I59" i="11"/>
  <c r="I51" i="11"/>
  <c r="I43" i="11"/>
  <c r="I35" i="11"/>
  <c r="I27" i="11"/>
  <c r="I19" i="11"/>
  <c r="F19" i="10" s="1"/>
  <c r="BA19" i="10" s="1"/>
  <c r="I11" i="11"/>
  <c r="F11" i="10" s="1"/>
  <c r="BA11" i="10" s="1"/>
  <c r="I3" i="11"/>
  <c r="H13" i="15"/>
  <c r="K13" i="15"/>
  <c r="I15" i="15"/>
  <c r="L15" i="15"/>
  <c r="E80" i="10"/>
  <c r="G80" i="10" s="1"/>
  <c r="BB80" i="10" s="1"/>
  <c r="E72" i="10"/>
  <c r="G72" i="10" s="1"/>
  <c r="BB72" i="10" s="1"/>
  <c r="E64" i="10"/>
  <c r="G64" i="10" s="1"/>
  <c r="BB64" i="10" s="1"/>
  <c r="E56" i="10"/>
  <c r="G56" i="10" s="1"/>
  <c r="BB56" i="10" s="1"/>
  <c r="E48" i="10"/>
  <c r="G48" i="10" s="1"/>
  <c r="BB48" i="10" s="1"/>
  <c r="E40" i="10"/>
  <c r="G40" i="10" s="1"/>
  <c r="BB40" i="10" s="1"/>
  <c r="E32" i="10"/>
  <c r="G32" i="10" s="1"/>
  <c r="BB32" i="10" s="1"/>
  <c r="E24" i="10"/>
  <c r="G24" i="10" s="1"/>
  <c r="BB24" i="10" s="1"/>
  <c r="E16" i="10"/>
  <c r="G16" i="10" s="1"/>
  <c r="BB16" i="10" s="1"/>
  <c r="E8" i="10"/>
  <c r="G8" i="10" s="1"/>
  <c r="BB8" i="10" s="1"/>
  <c r="I2" i="11"/>
  <c r="F2" i="10" s="1"/>
  <c r="BA2" i="10" s="1"/>
  <c r="I74" i="11"/>
  <c r="I66" i="11"/>
  <c r="I58" i="11"/>
  <c r="I50" i="11"/>
  <c r="I42" i="11"/>
  <c r="I34" i="11"/>
  <c r="I26" i="11"/>
  <c r="I18" i="11"/>
  <c r="F18" i="10" s="1"/>
  <c r="BA18" i="10" s="1"/>
  <c r="I10" i="11"/>
  <c r="J13" i="15"/>
  <c r="M13" i="15"/>
  <c r="I14" i="15"/>
  <c r="L14" i="15"/>
  <c r="H79" i="10"/>
  <c r="BC79" i="10" s="1"/>
  <c r="BD79" i="10" s="1"/>
  <c r="E71" i="10"/>
  <c r="G71" i="10" s="1"/>
  <c r="BB71" i="10" s="1"/>
  <c r="H63" i="10"/>
  <c r="BC63" i="10" s="1"/>
  <c r="BD63" i="10" s="1"/>
  <c r="H55" i="10"/>
  <c r="BC55" i="10" s="1"/>
  <c r="BD55" i="10" s="1"/>
  <c r="H47" i="10"/>
  <c r="BC47" i="10" s="1"/>
  <c r="BD47" i="10" s="1"/>
  <c r="H39" i="10"/>
  <c r="BC39" i="10" s="1"/>
  <c r="BD39" i="10" s="1"/>
  <c r="H31" i="10"/>
  <c r="BC31" i="10" s="1"/>
  <c r="BD31" i="10" s="1"/>
  <c r="E23" i="10"/>
  <c r="G23" i="10" s="1"/>
  <c r="BB23" i="10" s="1"/>
  <c r="H15" i="10"/>
  <c r="BC15" i="10" s="1"/>
  <c r="BD15" i="10" s="1"/>
  <c r="F7" i="10"/>
  <c r="BA7" i="10" s="1"/>
  <c r="I81" i="11"/>
  <c r="F81" i="10" s="1"/>
  <c r="BA81" i="10" s="1"/>
  <c r="I73" i="11"/>
  <c r="F73" i="10" s="1"/>
  <c r="BA73" i="10" s="1"/>
  <c r="I65" i="11"/>
  <c r="F65" i="10" s="1"/>
  <c r="BA65" i="10" s="1"/>
  <c r="I57" i="11"/>
  <c r="F57" i="10" s="1"/>
  <c r="BA57" i="10" s="1"/>
  <c r="I49" i="11"/>
  <c r="F49" i="10" s="1"/>
  <c r="BA49" i="10" s="1"/>
  <c r="I41" i="11"/>
  <c r="F41" i="10" s="1"/>
  <c r="BA41" i="10" s="1"/>
  <c r="I33" i="11"/>
  <c r="F33" i="10" s="1"/>
  <c r="BA33" i="10" s="1"/>
  <c r="I25" i="11"/>
  <c r="F25" i="10" s="1"/>
  <c r="BA25" i="10" s="1"/>
  <c r="I17" i="11"/>
  <c r="F17" i="10" s="1"/>
  <c r="BA17" i="10" s="1"/>
  <c r="I9" i="11"/>
  <c r="F9" i="10" s="1"/>
  <c r="BA9" i="10" s="1"/>
  <c r="I13" i="15"/>
  <c r="L13" i="15"/>
  <c r="H14" i="15"/>
  <c r="K14" i="15"/>
  <c r="H78" i="10"/>
  <c r="BC78" i="10" s="1"/>
  <c r="BD78" i="10" s="1"/>
  <c r="H70" i="10"/>
  <c r="BC70" i="10" s="1"/>
  <c r="BD70" i="10" s="1"/>
  <c r="H62" i="10"/>
  <c r="BC62" i="10" s="1"/>
  <c r="BD62" i="10" s="1"/>
  <c r="E54" i="10"/>
  <c r="G54" i="10" s="1"/>
  <c r="BB54" i="10" s="1"/>
  <c r="H46" i="10"/>
  <c r="BC46" i="10" s="1"/>
  <c r="BD46" i="10" s="1"/>
  <c r="H38" i="10"/>
  <c r="BC38" i="10" s="1"/>
  <c r="BD38" i="10" s="1"/>
  <c r="H30" i="10"/>
  <c r="BC30" i="10" s="1"/>
  <c r="BD30" i="10" s="1"/>
  <c r="E22" i="10"/>
  <c r="G22" i="10" s="1"/>
  <c r="BB22" i="10" s="1"/>
  <c r="H14" i="10"/>
  <c r="BC14" i="10" s="1"/>
  <c r="BD14" i="10" s="1"/>
  <c r="H6" i="10"/>
  <c r="BC6" i="10" s="1"/>
  <c r="BD6" i="10" s="1"/>
  <c r="I80" i="11"/>
  <c r="F80" i="10" s="1"/>
  <c r="BA80" i="10" s="1"/>
  <c r="I72" i="11"/>
  <c r="I64" i="11"/>
  <c r="F64" i="10" s="1"/>
  <c r="BA64" i="10" s="1"/>
  <c r="I56" i="11"/>
  <c r="I48" i="11"/>
  <c r="I40" i="11"/>
  <c r="I32" i="11"/>
  <c r="F32" i="10" s="1"/>
  <c r="BA32" i="10" s="1"/>
  <c r="I24" i="11"/>
  <c r="I16" i="11"/>
  <c r="F16" i="10" s="1"/>
  <c r="BA16" i="10" s="1"/>
  <c r="K16" i="15"/>
  <c r="H16" i="15"/>
  <c r="J14" i="15"/>
  <c r="M14" i="15"/>
  <c r="F12" i="10"/>
  <c r="BA12" i="10" s="1"/>
  <c r="F8" i="10"/>
  <c r="BA8" i="10" s="1"/>
  <c r="H45" i="10"/>
  <c r="BC45" i="10" s="1"/>
  <c r="BD45" i="10" s="1"/>
  <c r="H44" i="10"/>
  <c r="BC44" i="10" s="1"/>
  <c r="BD44" i="10" s="1"/>
  <c r="H81" i="10"/>
  <c r="BC81" i="10" s="1"/>
  <c r="BD81" i="10" s="1"/>
  <c r="H41" i="10"/>
  <c r="BC41" i="10" s="1"/>
  <c r="BD41" i="10" s="1"/>
  <c r="H80" i="10"/>
  <c r="BC80" i="10" s="1"/>
  <c r="BD80" i="10" s="1"/>
  <c r="H40" i="10"/>
  <c r="BC40" i="10" s="1"/>
  <c r="BD40" i="10" s="1"/>
  <c r="F76" i="10"/>
  <c r="BA76" i="10" s="1"/>
  <c r="H77" i="10"/>
  <c r="BC77" i="10" s="1"/>
  <c r="BD77" i="10" s="1"/>
  <c r="H33" i="10"/>
  <c r="BC33" i="10" s="1"/>
  <c r="BD33" i="10" s="1"/>
  <c r="F72" i="10"/>
  <c r="BA72" i="10" s="1"/>
  <c r="H76" i="10"/>
  <c r="BC76" i="10" s="1"/>
  <c r="BD76" i="10" s="1"/>
  <c r="H32" i="10"/>
  <c r="BC32" i="10" s="1"/>
  <c r="BD32" i="10" s="1"/>
  <c r="H73" i="10"/>
  <c r="BC73" i="10" s="1"/>
  <c r="BD73" i="10" s="1"/>
  <c r="H29" i="10"/>
  <c r="BC29" i="10" s="1"/>
  <c r="BD29" i="10" s="1"/>
  <c r="H72" i="10"/>
  <c r="BC72" i="10" s="1"/>
  <c r="BD72" i="10" s="1"/>
  <c r="H28" i="10"/>
  <c r="BC28" i="10" s="1"/>
  <c r="BD28" i="10" s="1"/>
  <c r="F56" i="10"/>
  <c r="BA56" i="10" s="1"/>
  <c r="H65" i="10"/>
  <c r="BC65" i="10" s="1"/>
  <c r="BD65" i="10" s="1"/>
  <c r="H25" i="10"/>
  <c r="BC25" i="10" s="1"/>
  <c r="BD25" i="10" s="1"/>
  <c r="F48" i="10"/>
  <c r="BA48" i="10" s="1"/>
  <c r="H64" i="10"/>
  <c r="BC64" i="10" s="1"/>
  <c r="BD64" i="10" s="1"/>
  <c r="H24" i="10"/>
  <c r="BC24" i="10" s="1"/>
  <c r="BD24" i="10" s="1"/>
  <c r="F44" i="10"/>
  <c r="BA44" i="10" s="1"/>
  <c r="H61" i="10"/>
  <c r="BC61" i="10" s="1"/>
  <c r="BD61" i="10" s="1"/>
  <c r="H17" i="10"/>
  <c r="BC17" i="10" s="1"/>
  <c r="BD17" i="10" s="1"/>
  <c r="F40" i="10"/>
  <c r="BA40" i="10" s="1"/>
  <c r="H60" i="10"/>
  <c r="BC60" i="10" s="1"/>
  <c r="BD60" i="10" s="1"/>
  <c r="H16" i="10"/>
  <c r="BC16" i="10" s="1"/>
  <c r="BD16" i="10" s="1"/>
  <c r="H57" i="10"/>
  <c r="BC57" i="10" s="1"/>
  <c r="BD57" i="10" s="1"/>
  <c r="H13" i="10"/>
  <c r="BC13" i="10" s="1"/>
  <c r="BD13" i="10" s="1"/>
  <c r="H56" i="10"/>
  <c r="BC56" i="10" s="1"/>
  <c r="BD56" i="10" s="1"/>
  <c r="H12" i="10"/>
  <c r="BC12" i="10" s="1"/>
  <c r="BD12" i="10" s="1"/>
  <c r="F24" i="10"/>
  <c r="BA24" i="10" s="1"/>
  <c r="H49" i="10"/>
  <c r="BC49" i="10" s="1"/>
  <c r="BD49" i="10" s="1"/>
  <c r="H9" i="10"/>
  <c r="BC9" i="10" s="1"/>
  <c r="BD9" i="10" s="1"/>
  <c r="H48" i="10"/>
  <c r="BC48" i="10" s="1"/>
  <c r="BD48" i="10" s="1"/>
  <c r="H8" i="10"/>
  <c r="BC8" i="10" s="1"/>
  <c r="BD8" i="10" s="1"/>
  <c r="E70" i="10"/>
  <c r="G70" i="10" s="1"/>
  <c r="BB70" i="10" s="1"/>
  <c r="E38" i="10"/>
  <c r="G38" i="10" s="1"/>
  <c r="BB38" i="10" s="1"/>
  <c r="E6" i="10"/>
  <c r="G6" i="10" s="1"/>
  <c r="BB6" i="10" s="1"/>
  <c r="F71" i="10"/>
  <c r="BA71" i="10" s="1"/>
  <c r="F55" i="10"/>
  <c r="BA55" i="10" s="1"/>
  <c r="F39" i="10"/>
  <c r="BA39" i="10" s="1"/>
  <c r="F23" i="10"/>
  <c r="BA23" i="10" s="1"/>
  <c r="E69" i="10"/>
  <c r="G69" i="10" s="1"/>
  <c r="BB69" i="10" s="1"/>
  <c r="E53" i="10"/>
  <c r="G53" i="10" s="1"/>
  <c r="BB53" i="10" s="1"/>
  <c r="E37" i="10"/>
  <c r="G37" i="10" s="1"/>
  <c r="BB37" i="10" s="1"/>
  <c r="E21" i="10"/>
  <c r="G21" i="10" s="1"/>
  <c r="BB21" i="10" s="1"/>
  <c r="E5" i="10"/>
  <c r="G5" i="10" s="1"/>
  <c r="BB5" i="10" s="1"/>
  <c r="F70" i="10"/>
  <c r="BA70" i="10" s="1"/>
  <c r="F54" i="10"/>
  <c r="BA54" i="10" s="1"/>
  <c r="F38" i="10"/>
  <c r="BA38" i="10" s="1"/>
  <c r="F22" i="10"/>
  <c r="BA22" i="10" s="1"/>
  <c r="F6" i="10"/>
  <c r="BA6" i="10" s="1"/>
  <c r="H71" i="10"/>
  <c r="BC71" i="10" s="1"/>
  <c r="BD71" i="10" s="1"/>
  <c r="H7" i="10"/>
  <c r="BC7" i="10" s="1"/>
  <c r="BD7" i="10" s="1"/>
  <c r="E68" i="10"/>
  <c r="G68" i="10" s="1"/>
  <c r="BB68" i="10" s="1"/>
  <c r="E52" i="10"/>
  <c r="G52" i="10" s="1"/>
  <c r="BB52" i="10" s="1"/>
  <c r="E36" i="10"/>
  <c r="G36" i="10" s="1"/>
  <c r="BB36" i="10" s="1"/>
  <c r="E20" i="10"/>
  <c r="G20" i="10" s="1"/>
  <c r="BB20" i="10" s="1"/>
  <c r="E4" i="10"/>
  <c r="G4" i="10" s="1"/>
  <c r="BB4" i="10" s="1"/>
  <c r="F69" i="10"/>
  <c r="BA69" i="10" s="1"/>
  <c r="F53" i="10"/>
  <c r="BA53" i="10" s="1"/>
  <c r="F37" i="10"/>
  <c r="BA37" i="10" s="1"/>
  <c r="F21" i="10"/>
  <c r="BA21" i="10" s="1"/>
  <c r="F5" i="10"/>
  <c r="BA5" i="10" s="1"/>
  <c r="H54" i="10"/>
  <c r="BC54" i="10" s="1"/>
  <c r="BD54" i="10" s="1"/>
  <c r="H22" i="10"/>
  <c r="BC22" i="10" s="1"/>
  <c r="BD22" i="10" s="1"/>
  <c r="H23" i="10"/>
  <c r="BC23" i="10" s="1"/>
  <c r="BD23" i="10" s="1"/>
  <c r="E67" i="10"/>
  <c r="G67" i="10" s="1"/>
  <c r="BB67" i="10" s="1"/>
  <c r="E51" i="10"/>
  <c r="G51" i="10" s="1"/>
  <c r="BB51" i="10" s="1"/>
  <c r="E35" i="10"/>
  <c r="G35" i="10" s="1"/>
  <c r="BB35" i="10" s="1"/>
  <c r="E19" i="10"/>
  <c r="G19" i="10" s="1"/>
  <c r="BB19" i="10" s="1"/>
  <c r="E3" i="10"/>
  <c r="G3" i="10" s="1"/>
  <c r="BB3" i="10" s="1"/>
  <c r="F68" i="10"/>
  <c r="BA68" i="10" s="1"/>
  <c r="F52" i="10"/>
  <c r="BA52" i="10" s="1"/>
  <c r="F36" i="10"/>
  <c r="BA36" i="10" s="1"/>
  <c r="F4" i="10"/>
  <c r="BA4" i="10" s="1"/>
  <c r="E43" i="10"/>
  <c r="G43" i="10" s="1"/>
  <c r="BB43" i="10" s="1"/>
  <c r="E55" i="10"/>
  <c r="G55" i="10" s="1"/>
  <c r="BB55" i="10" s="1"/>
  <c r="E39" i="10"/>
  <c r="G39" i="10" s="1"/>
  <c r="BB39" i="10" s="1"/>
  <c r="E7" i="10"/>
  <c r="G7" i="10" s="1"/>
  <c r="BB7" i="10" s="1"/>
  <c r="E2" i="10"/>
  <c r="E66" i="10"/>
  <c r="G66" i="10" s="1"/>
  <c r="BB66" i="10" s="1"/>
  <c r="E50" i="10"/>
  <c r="G50" i="10" s="1"/>
  <c r="BB50" i="10" s="1"/>
  <c r="E34" i="10"/>
  <c r="G34" i="10" s="1"/>
  <c r="BB34" i="10" s="1"/>
  <c r="E18" i="10"/>
  <c r="G18" i="10" s="1"/>
  <c r="BB18" i="10" s="1"/>
  <c r="F67" i="10"/>
  <c r="BA67" i="10" s="1"/>
  <c r="F51" i="10"/>
  <c r="BA51" i="10" s="1"/>
  <c r="F35" i="10"/>
  <c r="BA35" i="10" s="1"/>
  <c r="F3" i="10"/>
  <c r="BA3" i="10" s="1"/>
  <c r="E81" i="10"/>
  <c r="G81" i="10" s="1"/>
  <c r="BB81" i="10" s="1"/>
  <c r="E65" i="10"/>
  <c r="G65" i="10" s="1"/>
  <c r="BB65" i="10" s="1"/>
  <c r="E49" i="10"/>
  <c r="G49" i="10" s="1"/>
  <c r="BB49" i="10" s="1"/>
  <c r="E33" i="10"/>
  <c r="G33" i="10" s="1"/>
  <c r="BB33" i="10" s="1"/>
  <c r="E17" i="10"/>
  <c r="G17" i="10" s="1"/>
  <c r="BB17" i="10" s="1"/>
  <c r="F66" i="10"/>
  <c r="BA66" i="10" s="1"/>
  <c r="F50" i="10"/>
  <c r="BA50" i="10" s="1"/>
  <c r="F34" i="10"/>
  <c r="BA34" i="10" s="1"/>
  <c r="E63" i="10"/>
  <c r="G63" i="10" s="1"/>
  <c r="BB63" i="10" s="1"/>
  <c r="E47" i="10"/>
  <c r="G47" i="10" s="1"/>
  <c r="BB47" i="10" s="1"/>
  <c r="E15" i="10"/>
  <c r="G15" i="10" s="1"/>
  <c r="BB15" i="10" s="1"/>
  <c r="E75" i="10"/>
  <c r="G75" i="10" s="1"/>
  <c r="BB75" i="10" s="1"/>
  <c r="E27" i="10"/>
  <c r="G27" i="10" s="1"/>
  <c r="BB27" i="10" s="1"/>
  <c r="E79" i="10"/>
  <c r="G79" i="10" s="1"/>
  <c r="BB79" i="10" s="1"/>
  <c r="E31" i="10"/>
  <c r="G31" i="10" s="1"/>
  <c r="BB31" i="10" s="1"/>
  <c r="E78" i="10"/>
  <c r="G78" i="10" s="1"/>
  <c r="BB78" i="10" s="1"/>
  <c r="E62" i="10"/>
  <c r="G62" i="10" s="1"/>
  <c r="BB62" i="10" s="1"/>
  <c r="E46" i="10"/>
  <c r="G46" i="10" s="1"/>
  <c r="BB46" i="10" s="1"/>
  <c r="E30" i="10"/>
  <c r="G30" i="10" s="1"/>
  <c r="BB30" i="10" s="1"/>
  <c r="E14" i="10"/>
  <c r="G14" i="10" s="1"/>
  <c r="BB14" i="10" s="1"/>
  <c r="F79" i="10"/>
  <c r="BA79" i="10" s="1"/>
  <c r="F63" i="10"/>
  <c r="BA63" i="10" s="1"/>
  <c r="F47" i="10"/>
  <c r="BA47" i="10" s="1"/>
  <c r="F31" i="10"/>
  <c r="BA31" i="10" s="1"/>
  <c r="F15" i="10"/>
  <c r="BA15" i="10" s="1"/>
  <c r="E77" i="10"/>
  <c r="G77" i="10" s="1"/>
  <c r="BB77" i="10" s="1"/>
  <c r="E61" i="10"/>
  <c r="G61" i="10" s="1"/>
  <c r="BB61" i="10" s="1"/>
  <c r="E45" i="10"/>
  <c r="G45" i="10" s="1"/>
  <c r="BB45" i="10" s="1"/>
  <c r="E29" i="10"/>
  <c r="G29" i="10" s="1"/>
  <c r="BB29" i="10" s="1"/>
  <c r="E13" i="10"/>
  <c r="G13" i="10" s="1"/>
  <c r="BB13" i="10" s="1"/>
  <c r="F78" i="10"/>
  <c r="BA78" i="10" s="1"/>
  <c r="F62" i="10"/>
  <c r="BA62" i="10" s="1"/>
  <c r="F46" i="10"/>
  <c r="BA46" i="10" s="1"/>
  <c r="F30" i="10"/>
  <c r="BA30" i="10" s="1"/>
  <c r="F14" i="10"/>
  <c r="BA14" i="10" s="1"/>
  <c r="E59" i="10"/>
  <c r="G59" i="10" s="1"/>
  <c r="BB59" i="10" s="1"/>
  <c r="E11" i="10"/>
  <c r="G11" i="10" s="1"/>
  <c r="BB11" i="10" s="1"/>
  <c r="E74" i="10"/>
  <c r="G74" i="10" s="1"/>
  <c r="BB74" i="10" s="1"/>
  <c r="E58" i="10"/>
  <c r="G58" i="10" s="1"/>
  <c r="BB58" i="10" s="1"/>
  <c r="E42" i="10"/>
  <c r="G42" i="10" s="1"/>
  <c r="BB42" i="10" s="1"/>
  <c r="E26" i="10"/>
  <c r="G26" i="10" s="1"/>
  <c r="BB26" i="10" s="1"/>
  <c r="E10" i="10"/>
  <c r="G10" i="10" s="1"/>
  <c r="BB10" i="10" s="1"/>
  <c r="F59" i="10"/>
  <c r="BA59" i="10" s="1"/>
  <c r="F43" i="10"/>
  <c r="BA43" i="10" s="1"/>
  <c r="F27" i="10"/>
  <c r="BA27" i="10" s="1"/>
  <c r="E73" i="10"/>
  <c r="G73" i="10" s="1"/>
  <c r="BB73" i="10" s="1"/>
  <c r="E57" i="10"/>
  <c r="G57" i="10" s="1"/>
  <c r="BB57" i="10" s="1"/>
  <c r="E41" i="10"/>
  <c r="G41" i="10" s="1"/>
  <c r="BB41" i="10" s="1"/>
  <c r="E25" i="10"/>
  <c r="G25" i="10" s="1"/>
  <c r="BB25" i="10" s="1"/>
  <c r="E9" i="10"/>
  <c r="G9" i="10" s="1"/>
  <c r="BB9" i="10" s="1"/>
  <c r="F74" i="10"/>
  <c r="BA74" i="10" s="1"/>
  <c r="F58" i="10"/>
  <c r="BA58" i="10" s="1"/>
  <c r="F42" i="10"/>
  <c r="BA42" i="10" s="1"/>
  <c r="F26" i="10"/>
  <c r="BA26" i="10" s="1"/>
  <c r="F10" i="10"/>
  <c r="BA10" i="10" s="1"/>
  <c r="G2" i="10" l="1"/>
  <c r="BB2" i="10" s="1"/>
  <c r="O4" i="10"/>
  <c r="N4" i="10"/>
  <c r="M4" i="10"/>
  <c r="O6" i="10" a="1"/>
  <c r="O6" i="10" s="1"/>
  <c r="O7" i="10" a="1"/>
  <c r="O7" i="10" s="1"/>
  <c r="O5" i="10" a="1"/>
  <c r="O5" i="10" s="1"/>
  <c r="N6" i="10" a="1"/>
  <c r="N6" i="10" s="1"/>
  <c r="N7" i="10" a="1"/>
  <c r="N7" i="10" s="1"/>
  <c r="N5" i="10" a="1"/>
  <c r="N5" i="10" s="1"/>
  <c r="M5" i="10" a="1"/>
  <c r="M5" i="10" s="1"/>
  <c r="M6" i="10" a="1"/>
  <c r="M6" i="10" s="1"/>
  <c r="M7" i="10" a="1"/>
  <c r="M7" i="10" s="1"/>
  <c r="AW5" i="10" l="1" a="1"/>
  <c r="AW5" i="10" s="1"/>
  <c r="AW6" i="10" a="1"/>
  <c r="AW6" i="10" s="1"/>
  <c r="AW4" i="10" a="1"/>
  <c r="AW4" i="10" s="1"/>
  <c r="AW3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<sst xmlns="http://schemas.openxmlformats.org/spreadsheetml/2006/main" count="6419" uniqueCount="1552">
  <si>
    <t>Site Name</t>
  </si>
  <si>
    <t>Permit Number</t>
  </si>
  <si>
    <t>RN</t>
  </si>
  <si>
    <t>CITY OF TULIA MUNICIPAL SOLID WASTE LANDFILL</t>
  </si>
  <si>
    <t>1009A</t>
  </si>
  <si>
    <t>RN102335312</t>
  </si>
  <si>
    <t>CITY OF DALHART LANDFILL</t>
  </si>
  <si>
    <t>1038A</t>
  </si>
  <si>
    <t>RN102121381</t>
  </si>
  <si>
    <t>CITY OF PANHANDLE MUNICIPAL SOLID WASTE LANDFILL</t>
  </si>
  <si>
    <t>1164</t>
  </si>
  <si>
    <t>RN101503621</t>
  </si>
  <si>
    <t>SOUTHWEST LANDFILL TX LP</t>
  </si>
  <si>
    <t>1663C</t>
  </si>
  <si>
    <t>RN102064151</t>
  </si>
  <si>
    <t>CITY OF BOOKER LANDFILL</t>
  </si>
  <si>
    <t>1943</t>
  </si>
  <si>
    <t>RN101478121</t>
  </si>
  <si>
    <t>CITY OF PAMPA LANDFILL</t>
  </si>
  <si>
    <t>2238</t>
  </si>
  <si>
    <t>RN100211416</t>
  </si>
  <si>
    <t>CITY OF CHILDRESS MUNICIPAL SOLID WASTE LANDFILL</t>
  </si>
  <si>
    <t>2263</t>
  </si>
  <si>
    <t>RN102328101</t>
  </si>
  <si>
    <t>CITY OF MEMPHIS LANDFILL</t>
  </si>
  <si>
    <t>2266</t>
  </si>
  <si>
    <t>RN102118957</t>
  </si>
  <si>
    <t>CITY OF DUMAS LANDFILL</t>
  </si>
  <si>
    <t>2279</t>
  </si>
  <si>
    <t>RN102335627</t>
  </si>
  <si>
    <t>CITY OF SHAMROCK MUNICIPAL LANDFILL</t>
  </si>
  <si>
    <t>2281A</t>
  </si>
  <si>
    <t>RN101507325</t>
  </si>
  <si>
    <t>CITY OF SPEARMAN MUNICIPAL SOLID WASTE LANDFILL</t>
  </si>
  <si>
    <t>2352</t>
  </si>
  <si>
    <t>RN102754496</t>
  </si>
  <si>
    <t>CITY OF DIMMITT MUNICIPAL SOLID WASTE LANDFILL</t>
  </si>
  <si>
    <t>445A</t>
  </si>
  <si>
    <t>RN102071602</t>
  </si>
  <si>
    <t>CITY OF MCLEAN LANDFILL</t>
  </si>
  <si>
    <t>570</t>
  </si>
  <si>
    <t>RN101505204</t>
  </si>
  <si>
    <t>CITY OF AMARILLO LANDFILL</t>
  </si>
  <si>
    <t>73A</t>
  </si>
  <si>
    <t>RN100237551</t>
  </si>
  <si>
    <t>PERRYTON MUNICIPAL SOLID WASTE LANDFILL</t>
  </si>
  <si>
    <t>876A</t>
  </si>
  <si>
    <t>RN101999274</t>
  </si>
  <si>
    <t>CITY OF WELLINGTON LANDFILL</t>
  </si>
  <si>
    <t>955</t>
  </si>
  <si>
    <t>RN102834934</t>
  </si>
  <si>
    <t>CITY OF PLAINVIEW LANDFILL</t>
  </si>
  <si>
    <t>2157</t>
  </si>
  <si>
    <t>RN101667327</t>
  </si>
  <si>
    <t>CITY OF BROWNFIELD LANDFILL</t>
  </si>
  <si>
    <t>2170</t>
  </si>
  <si>
    <t>RN102668456</t>
  </si>
  <si>
    <t>CITY OF FLOYDADA LANDFILL</t>
  </si>
  <si>
    <t>2207</t>
  </si>
  <si>
    <t>RN102001518</t>
  </si>
  <si>
    <t>YOAKUM COUNTY LANDFILL</t>
  </si>
  <si>
    <t>2217</t>
  </si>
  <si>
    <t>RN101478360</t>
  </si>
  <si>
    <t>CITY OF POST LANDFILL</t>
  </si>
  <si>
    <t>2227</t>
  </si>
  <si>
    <t>RN102120474</t>
  </si>
  <si>
    <t>WEST TEXAS REGIONAL DISPOSAL LANDFILL</t>
  </si>
  <si>
    <t>2252</t>
  </si>
  <si>
    <t>RN102327491</t>
  </si>
  <si>
    <t>LITTLEFIELD MUNICIPAL LANDFILL</t>
  </si>
  <si>
    <t>2274</t>
  </si>
  <si>
    <t>RN102070257</t>
  </si>
  <si>
    <t>CITY OF MULESHOE LANDFILL</t>
  </si>
  <si>
    <t>2291A</t>
  </si>
  <si>
    <t>RN100630177</t>
  </si>
  <si>
    <t>CITY OF MEADOW LANDFILL</t>
  </si>
  <si>
    <t>2293</t>
  </si>
  <si>
    <t>RN101570976</t>
  </si>
  <si>
    <t>CITY OF TAHOKA</t>
  </si>
  <si>
    <t>2328A</t>
  </si>
  <si>
    <t>RN101999563</t>
  </si>
  <si>
    <t>CITY OF LEVELLAND</t>
  </si>
  <si>
    <t>2369</t>
  </si>
  <si>
    <t>RN105961809</t>
  </si>
  <si>
    <t>CITY OF MATADOR LANDFILL</t>
  </si>
  <si>
    <t>549A</t>
  </si>
  <si>
    <t>RN102143120</t>
  </si>
  <si>
    <t>CITY OF OLTON LANDFILL</t>
  </si>
  <si>
    <t>583A</t>
  </si>
  <si>
    <t>RN102740198</t>
  </si>
  <si>
    <t>CITY OF LUBBOCK LANDFILL</t>
  </si>
  <si>
    <t>69</t>
  </si>
  <si>
    <t>RN102304920</t>
  </si>
  <si>
    <t>CITY OF WICHITA FALLS LANDFILL</t>
  </si>
  <si>
    <t>1428A</t>
  </si>
  <si>
    <t>RN103049557</t>
  </si>
  <si>
    <t>CITY OF SNYDER LANDFILL</t>
  </si>
  <si>
    <t>1463B</t>
  </si>
  <si>
    <t>RN102290087</t>
  </si>
  <si>
    <t>ABILENE LANDFILL TX LP</t>
  </si>
  <si>
    <t>1469A</t>
  </si>
  <si>
    <t>RN103207403</t>
  </si>
  <si>
    <t>REGIONAL LANDFILL OF BROWNWOOD</t>
  </si>
  <si>
    <t>1562A</t>
  </si>
  <si>
    <t>RN100216498</t>
  </si>
  <si>
    <t>BUFFALO CREEK LANDFILL</t>
  </si>
  <si>
    <t>1571A</t>
  </si>
  <si>
    <t>RN100213214</t>
  </si>
  <si>
    <t>CITY OF HASKELL LANDFILL</t>
  </si>
  <si>
    <t>1604B</t>
  </si>
  <si>
    <t>RN102214624</t>
  </si>
  <si>
    <t>ABILENE ENVIRONMENTAL LANDFILL INC</t>
  </si>
  <si>
    <t>2325</t>
  </si>
  <si>
    <t>RN104130604</t>
  </si>
  <si>
    <t>CITY OF COLORADO CITY LANDFILL</t>
  </si>
  <si>
    <t>420B</t>
  </si>
  <si>
    <t>RN102335726</t>
  </si>
  <si>
    <t>DFW RECYCLING AND DISPOSAL FACILITY</t>
  </si>
  <si>
    <t>1025B</t>
  </si>
  <si>
    <t>RN100542257</t>
  </si>
  <si>
    <t>REPUBLIC MALOY LANDFILL</t>
  </si>
  <si>
    <t>1195B</t>
  </si>
  <si>
    <t>RN102071032</t>
  </si>
  <si>
    <t>CAMELOT LANDFILL</t>
  </si>
  <si>
    <t>1312B</t>
  </si>
  <si>
    <t>RN101479038</t>
  </si>
  <si>
    <t>HUNTER FERRELL LANDFILL</t>
  </si>
  <si>
    <t>1394B</t>
  </si>
  <si>
    <t>RN102000924</t>
  </si>
  <si>
    <t>TURKEY CREEK LANDFILL</t>
  </si>
  <si>
    <t>1417C</t>
  </si>
  <si>
    <t>RN100825462</t>
  </si>
  <si>
    <t>CITY OF DENTON LANDFILL</t>
  </si>
  <si>
    <t>1590B</t>
  </si>
  <si>
    <t>RN102212685</t>
  </si>
  <si>
    <t>ECD LANDFILL</t>
  </si>
  <si>
    <t>1745B</t>
  </si>
  <si>
    <t>RN100242460</t>
  </si>
  <si>
    <t>CHARLES M HINTON JR REGIONAL LANDFILL</t>
  </si>
  <si>
    <t>1895A</t>
  </si>
  <si>
    <t>RN103049490</t>
  </si>
  <si>
    <t>CITY OF FORT WORTH SE  LANDFILL</t>
  </si>
  <si>
    <t>218C</t>
  </si>
  <si>
    <t>RN102335601</t>
  </si>
  <si>
    <t>CITY OF CORSICANA LANDFILL</t>
  </si>
  <si>
    <t>2190</t>
  </si>
  <si>
    <t>RN102091998</t>
  </si>
  <si>
    <t>TASWA SOLID WASTE DISPOSAL AND RECYCLING FACILITY</t>
  </si>
  <si>
    <t>2290</t>
  </si>
  <si>
    <t>RN100629922</t>
  </si>
  <si>
    <t>121 REGIONAL DISPOSAL LANDFILL</t>
  </si>
  <si>
    <t>2294</t>
  </si>
  <si>
    <t>RN101308781</t>
  </si>
  <si>
    <t>CITY OF ARLINGTON LANDFILL</t>
  </si>
  <si>
    <t>358B</t>
  </si>
  <si>
    <t>RN102336039</t>
  </si>
  <si>
    <t>SKYLINE LANDFILL &amp; RECYCLING FACILITY</t>
  </si>
  <si>
    <t>42D</t>
  </si>
  <si>
    <t>RN100542232</t>
  </si>
  <si>
    <t>CITY OF WEATHERFORD LANDFILL</t>
  </si>
  <si>
    <t>47A</t>
  </si>
  <si>
    <t>RN100617984</t>
  </si>
  <si>
    <t>HILLSIDE LANDFILL AND RECYCLING CENTER</t>
  </si>
  <si>
    <t>523B</t>
  </si>
  <si>
    <t>RN100217512</t>
  </si>
  <si>
    <t>MCCOMMAS BLUFF LANDFILL</t>
  </si>
  <si>
    <t>62</t>
  </si>
  <si>
    <t>RN100752146</t>
  </si>
  <si>
    <t>CITY OF GRAND PRAIRIE LANDFILL</t>
  </si>
  <si>
    <t>996C</t>
  </si>
  <si>
    <t>RN100542216</t>
  </si>
  <si>
    <t>EAST TEXAS REGIONAL LANDFILL</t>
  </si>
  <si>
    <t>1249B</t>
  </si>
  <si>
    <t>RN102379815</t>
  </si>
  <si>
    <t>PINE HILL FARMS LANDFILL TX LP</t>
  </si>
  <si>
    <t>1327B</t>
  </si>
  <si>
    <t>RN101909737</t>
  </si>
  <si>
    <t>ROYAL OAKS  LANDFILL</t>
  </si>
  <si>
    <t>1614A</t>
  </si>
  <si>
    <t>RN101927010</t>
  </si>
  <si>
    <t>GREENWOOD FARMS LANDFILL</t>
  </si>
  <si>
    <t>1972A</t>
  </si>
  <si>
    <t>RN102533171</t>
  </si>
  <si>
    <t>BLOSSOM PRAIRIE LANDFILL</t>
  </si>
  <si>
    <t>2358</t>
  </si>
  <si>
    <t>RN105608038</t>
  </si>
  <si>
    <t>NEW BOSTON LANDFILL</t>
  </si>
  <si>
    <t>576C</t>
  </si>
  <si>
    <t>RN102594892</t>
  </si>
  <si>
    <t>PLEASANT OAKS LANDFILL</t>
  </si>
  <si>
    <t>797B</t>
  </si>
  <si>
    <t>RN102049103</t>
  </si>
  <si>
    <t>PANTHER J LANDFILL</t>
  </si>
  <si>
    <t>1276</t>
  </si>
  <si>
    <t>RN103049581</t>
  </si>
  <si>
    <t>CITY OF PRESIDIO LANDFILL</t>
  </si>
  <si>
    <t>1737A</t>
  </si>
  <si>
    <t>RN102213733</t>
  </si>
  <si>
    <t>CITY OF ALPINE LANDFILL</t>
  </si>
  <si>
    <t>2197</t>
  </si>
  <si>
    <t>RN102000601</t>
  </si>
  <si>
    <t>GREATER EL PASO LANDFILL</t>
  </si>
  <si>
    <t>2284</t>
  </si>
  <si>
    <t>RN101478766</t>
  </si>
  <si>
    <t>HUDSPETH COUNTY LANDFILL</t>
  </si>
  <si>
    <t>495</t>
  </si>
  <si>
    <t>RN100627660</t>
  </si>
  <si>
    <t>CITY OF VAN HORN LANDFILL</t>
  </si>
  <si>
    <t>693A</t>
  </si>
  <si>
    <t>RN102143500</t>
  </si>
  <si>
    <t>MCCOMBS LANDFILL</t>
  </si>
  <si>
    <t>729B</t>
  </si>
  <si>
    <t>RN100215599</t>
  </si>
  <si>
    <t>SIERRA BLANCA LANDFILL</t>
  </si>
  <si>
    <t>957A</t>
  </si>
  <si>
    <t>RN101494409</t>
  </si>
  <si>
    <t>CITY OF MIDLAND LANDFILL</t>
  </si>
  <si>
    <t>1605B</t>
  </si>
  <si>
    <t>RN100212570</t>
  </si>
  <si>
    <t>CITY OF ANDREWS LANDFILL</t>
  </si>
  <si>
    <t>171</t>
  </si>
  <si>
    <t>RN102119740</t>
  </si>
  <si>
    <t>CITY OF PECOS LANDFILL</t>
  </si>
  <si>
    <t>2120A</t>
  </si>
  <si>
    <t>RN102216553</t>
  </si>
  <si>
    <t>GLASSCOCK COUNTY LANDFILL</t>
  </si>
  <si>
    <t>2154</t>
  </si>
  <si>
    <t>RN102214962</t>
  </si>
  <si>
    <t>ODESSA LANDFILL</t>
  </si>
  <si>
    <t>2158</t>
  </si>
  <si>
    <t>RN100542737</t>
  </si>
  <si>
    <t>CITY OF STANTON LANDFILL</t>
  </si>
  <si>
    <t>2189</t>
  </si>
  <si>
    <t>RN102000114</t>
  </si>
  <si>
    <t>CITY OF CRANE LANDFILL</t>
  </si>
  <si>
    <t>2345</t>
  </si>
  <si>
    <t>RN102739968</t>
  </si>
  <si>
    <t>BIG SPRING LANDFILL</t>
  </si>
  <si>
    <t>2395</t>
  </si>
  <si>
    <t>RN109218016</t>
  </si>
  <si>
    <t>CITY OF BIG SPRING LANDFILL</t>
  </si>
  <si>
    <t>288A</t>
  </si>
  <si>
    <t>RN102327517</t>
  </si>
  <si>
    <t>CITY OF SEMINOLE LANDFILL</t>
  </si>
  <si>
    <t>39</t>
  </si>
  <si>
    <t>RN101921179</t>
  </si>
  <si>
    <t>CITY OF LAMESA LANDFILL</t>
  </si>
  <si>
    <t>517A</t>
  </si>
  <si>
    <t>RN102002136</t>
  </si>
  <si>
    <t>CITY OF MONAHANS LANDFILL</t>
  </si>
  <si>
    <t>772</t>
  </si>
  <si>
    <t>RN102289444</t>
  </si>
  <si>
    <t>CITY OF FORT STOCKTON LANDFILL</t>
  </si>
  <si>
    <t>976</t>
  </si>
  <si>
    <t>RN102216165</t>
  </si>
  <si>
    <t>CITY OF BRADY LANDFILL</t>
  </si>
  <si>
    <t>1732</t>
  </si>
  <si>
    <t>RN102003811</t>
  </si>
  <si>
    <t>CITY OF MASON LANDFILL</t>
  </si>
  <si>
    <t>195</t>
  </si>
  <si>
    <t>RN102002185</t>
  </si>
  <si>
    <t>CITY OF ELDORADO LANDFILL</t>
  </si>
  <si>
    <t>2264</t>
  </si>
  <si>
    <t>RN102142999</t>
  </si>
  <si>
    <t>MASON EAST MSW LANDFILL</t>
  </si>
  <si>
    <t>2399</t>
  </si>
  <si>
    <t>RN110372430</t>
  </si>
  <si>
    <t>CITY OF SAN ANGELO LANDFILL</t>
  </si>
  <si>
    <t>79</t>
  </si>
  <si>
    <t>RN102289576</t>
  </si>
  <si>
    <t>CITY OF BIG LAKE LANDFILL</t>
  </si>
  <si>
    <t>86B</t>
  </si>
  <si>
    <t>RN102328176</t>
  </si>
  <si>
    <t>MEXIA LANDFILL</t>
  </si>
  <si>
    <t>1558A</t>
  </si>
  <si>
    <t>RN102062692</t>
  </si>
  <si>
    <t>LACY-LAKEVIEW RECYCLING AND DISPOSAL FACILITY</t>
  </si>
  <si>
    <t>1646A</t>
  </si>
  <si>
    <t>RN100218536</t>
  </si>
  <si>
    <t>1646B</t>
  </si>
  <si>
    <t>FORT HOOD LANDFILL</t>
  </si>
  <si>
    <t>1866</t>
  </si>
  <si>
    <t>RN102778149</t>
  </si>
  <si>
    <t>TWIN OAKS LANDFILL</t>
  </si>
  <si>
    <t>2292</t>
  </si>
  <si>
    <t>RN100630458</t>
  </si>
  <si>
    <t>ITASCA LANDFILL</t>
  </si>
  <si>
    <t>241D</t>
  </si>
  <si>
    <t>RN100213412</t>
  </si>
  <si>
    <t>CITY OF TEMPLE LANDFILL</t>
  </si>
  <si>
    <t>692B</t>
  </si>
  <si>
    <t>RN100219401</t>
  </si>
  <si>
    <t>CITY OF WACO LANDFILL</t>
  </si>
  <si>
    <t>948A</t>
  </si>
  <si>
    <t>RN102804051</t>
  </si>
  <si>
    <t>POLK COUNTY LANDFILL</t>
  </si>
  <si>
    <t>1384A</t>
  </si>
  <si>
    <t>RN102668654</t>
  </si>
  <si>
    <t>CITY OF BEAUMONT LANDFILL</t>
  </si>
  <si>
    <t>1486B</t>
  </si>
  <si>
    <t>RN102987369</t>
  </si>
  <si>
    <t>CITY OF PORT ARTHUR LANDFILL</t>
  </si>
  <si>
    <t>1815A</t>
  </si>
  <si>
    <t>RN100225390</t>
  </si>
  <si>
    <t>GOLDEN TRIANGLE LANDFILL</t>
  </si>
  <si>
    <t>2027</t>
  </si>
  <si>
    <t>RN100217330</t>
  </si>
  <si>
    <t>ANGELINA COUNTY LANDFILL</t>
  </si>
  <si>
    <t>2105A</t>
  </si>
  <si>
    <t>RN101947323</t>
  </si>
  <si>
    <t>HARDIN COUNTY LANDFILL</t>
  </si>
  <si>
    <t>2214B</t>
  </si>
  <si>
    <t>RN103759643</t>
  </si>
  <si>
    <t>NEWTON COUNTY REGIONAL SOLID WASTE COMPLEX</t>
  </si>
  <si>
    <t>2242A</t>
  </si>
  <si>
    <t>RN100222553</t>
  </si>
  <si>
    <t>CITY OF NACOGDOCHES LANDFILL</t>
  </si>
  <si>
    <t>720</t>
  </si>
  <si>
    <t>RN102217395</t>
  </si>
  <si>
    <t>WILLIAMSON COUNTY RECYCLING AND DISPOSAL FACILITY LANDFILL</t>
  </si>
  <si>
    <t>1405B</t>
  </si>
  <si>
    <t>RN100225754</t>
  </si>
  <si>
    <t>TEXAS DISPOSAL SYSTEMS LANDFILL</t>
  </si>
  <si>
    <t>2123</t>
  </si>
  <si>
    <t>RN102016698</t>
  </si>
  <si>
    <t>130 ENVIRONMENTAL PARK</t>
  </si>
  <si>
    <t>2383</t>
  </si>
  <si>
    <t>RN106897036</t>
  </si>
  <si>
    <t>AUSTIN COMMUNITY RECYCLING &amp; DISPOSAL FACILITY</t>
  </si>
  <si>
    <t>249D</t>
  </si>
  <si>
    <t>RN100215938</t>
  </si>
  <si>
    <t>GALVESTON COUNTY LANDFILL TX LP</t>
  </si>
  <si>
    <t>1149B</t>
  </si>
  <si>
    <t>RN100221597</t>
  </si>
  <si>
    <t>WM ATASCOCITA RECYCLING DISPOSAL FACILITY</t>
  </si>
  <si>
    <t>1307D</t>
  </si>
  <si>
    <t>RN100216142</t>
  </si>
  <si>
    <t>CHAMBERS COUNTY LANDFILL</t>
  </si>
  <si>
    <t>1502A</t>
  </si>
  <si>
    <t>RN101663565</t>
  </si>
  <si>
    <t>BLUE RIDGE LANDFILL</t>
  </si>
  <si>
    <t>1505A</t>
  </si>
  <si>
    <t>RN102610102</t>
  </si>
  <si>
    <t>BAYTOWN LANDFILL FACILITY</t>
  </si>
  <si>
    <t>1535B</t>
  </si>
  <si>
    <t>RN100222470</t>
  </si>
  <si>
    <t>SEABREEZE ENVIRONMENTAL LANDFILL</t>
  </si>
  <si>
    <t>1539C</t>
  </si>
  <si>
    <t>RN100229079</t>
  </si>
  <si>
    <t>COASTAL PLAINS RECYCLING  AND LANDFILL FACILITY</t>
  </si>
  <si>
    <t>1721A</t>
  </si>
  <si>
    <t>RN100542448</t>
  </si>
  <si>
    <t>SECURITY RECYCLING AND DISPOSAL FACILITY</t>
  </si>
  <si>
    <t>1752B</t>
  </si>
  <si>
    <t>RN100218700</t>
  </si>
  <si>
    <t>FORT BEND REGIONAL LANDFILL</t>
  </si>
  <si>
    <t>2270</t>
  </si>
  <si>
    <t>RN102803913</t>
  </si>
  <si>
    <t>MCCARTY ROAD LANDFILL</t>
  </si>
  <si>
    <t>261B</t>
  </si>
  <si>
    <t>RN100213602</t>
  </si>
  <si>
    <t>TESSMAN ROAD LANDFILL</t>
  </si>
  <si>
    <t>1410C</t>
  </si>
  <si>
    <t>RN100212422</t>
  </si>
  <si>
    <t>CITY OF KERRVILLE LANDFILL</t>
  </si>
  <si>
    <t>1506B</t>
  </si>
  <si>
    <t>RN102000551</t>
  </si>
  <si>
    <t>CITY OF UVALDE LANDFILL</t>
  </si>
  <si>
    <t>1725</t>
  </si>
  <si>
    <t>RN102803921</t>
  </si>
  <si>
    <t>CITY OF FREDERICKSBURG LANDFILL</t>
  </si>
  <si>
    <t>1995</t>
  </si>
  <si>
    <t>RN102211844</t>
  </si>
  <si>
    <t>COVEL GARDENS LANDFILL</t>
  </si>
  <si>
    <t>2093B</t>
  </si>
  <si>
    <t>RN100218338</t>
  </si>
  <si>
    <t>POST OAK MSW LANDFILL</t>
  </si>
  <si>
    <t>2378</t>
  </si>
  <si>
    <t>RN106314990</t>
  </si>
  <si>
    <t>MESQUITE CREEK LANDFILL</t>
  </si>
  <si>
    <t>66B</t>
  </si>
  <si>
    <t>RN100218676</t>
  </si>
  <si>
    <t>CITY OF VICTORIA LANDFILL</t>
  </si>
  <si>
    <t>1522A</t>
  </si>
  <si>
    <t>RN100212968</t>
  </si>
  <si>
    <t>EL CENTRO LANDFILL</t>
  </si>
  <si>
    <t>2267</t>
  </si>
  <si>
    <t>RN102003860</t>
  </si>
  <si>
    <t>CITY OF CORPUS CHRISTI LANDFILL</t>
  </si>
  <si>
    <t>2269</t>
  </si>
  <si>
    <t>RN102778123</t>
  </si>
  <si>
    <t>CITY OF KINGSVILLE LANDFILL</t>
  </si>
  <si>
    <t>235C</t>
  </si>
  <si>
    <t>RN102334570</t>
  </si>
  <si>
    <t>CITY OF ALICE LANDFILL</t>
  </si>
  <si>
    <t>262C</t>
  </si>
  <si>
    <t>RN101478279</t>
  </si>
  <si>
    <t>CITY OF BROWNSVILLE LANDFILL</t>
  </si>
  <si>
    <t>1273A</t>
  </si>
  <si>
    <t>RN102975026</t>
  </si>
  <si>
    <t>LA GLORIA RANCH LANDFILL</t>
  </si>
  <si>
    <t>2348</t>
  </si>
  <si>
    <t>RN104858790</t>
  </si>
  <si>
    <t>CITY OF ROMA LANDFILL</t>
  </si>
  <si>
    <t>954A</t>
  </si>
  <si>
    <t>RN102289873</t>
  </si>
  <si>
    <t>CITY OF EDINBURG LANDFILL</t>
  </si>
  <si>
    <t>956C</t>
  </si>
  <si>
    <t>RN102217734</t>
  </si>
  <si>
    <t>CITY OF CRYSTAL CITY LANDFILL</t>
  </si>
  <si>
    <t>1308A</t>
  </si>
  <si>
    <t>RN102327863</t>
  </si>
  <si>
    <t>CITY OF LAREDO LANDFILL</t>
  </si>
  <si>
    <t>1693B</t>
  </si>
  <si>
    <t>RN102327582</t>
  </si>
  <si>
    <t>CITY OF DEL RIO LANDFILL</t>
  </si>
  <si>
    <t>207B</t>
  </si>
  <si>
    <t>RN102143294</t>
  </si>
  <si>
    <t>CITY OF CARRIZO SPRINGS LANDFILL</t>
  </si>
  <si>
    <t>2225</t>
  </si>
  <si>
    <t>RN102335080</t>
  </si>
  <si>
    <t>PONDEROSA REGIONAL LANDFILL</t>
  </si>
  <si>
    <t>2286</t>
  </si>
  <si>
    <t>RN100629310</t>
  </si>
  <si>
    <t>ZAVALA COUNTY MSWF LANDFILL</t>
  </si>
  <si>
    <t>2303</t>
  </si>
  <si>
    <t>RN102953627</t>
  </si>
  <si>
    <t>MAVERICK COUNTY EL INDIO MSW LANDFILL</t>
  </si>
  <si>
    <t>2316</t>
  </si>
  <si>
    <t>RN104154240</t>
  </si>
  <si>
    <t>FORT CLARK SPRINGS ASSOCIATION INC LANDFILL</t>
  </si>
  <si>
    <t>2354</t>
  </si>
  <si>
    <t>RN102336302</t>
  </si>
  <si>
    <t>ZAPATA  COUNTY LANDFILL</t>
  </si>
  <si>
    <t>783A</t>
  </si>
  <si>
    <t>RN102327574</t>
  </si>
  <si>
    <t>Counties</t>
  </si>
  <si>
    <t>BRISCOE</t>
  </si>
  <si>
    <t>SWISHER</t>
  </si>
  <si>
    <t>HARTLEY</t>
  </si>
  <si>
    <t>DALLAM</t>
  </si>
  <si>
    <t>CARSON</t>
  </si>
  <si>
    <t>ARMSTRONG</t>
  </si>
  <si>
    <t>CHILDRESS</t>
  </si>
  <si>
    <t>COLLINGSWORTH</t>
  </si>
  <si>
    <t>DEAF SMITH</t>
  </si>
  <si>
    <t>DONLEY</t>
  </si>
  <si>
    <t>FLOYD</t>
  </si>
  <si>
    <t>GRAY</t>
  </si>
  <si>
    <t>HALL</t>
  </si>
  <si>
    <t>HANSFORD</t>
  </si>
  <si>
    <t>HEMPHILL</t>
  </si>
  <si>
    <t>HOCKLEY</t>
  </si>
  <si>
    <t>HOWARD</t>
  </si>
  <si>
    <t xml:space="preserve">HUTCHINSON </t>
  </si>
  <si>
    <t>LAMB</t>
  </si>
  <si>
    <t>LIPSCOMB</t>
  </si>
  <si>
    <t>LUBBOCK</t>
  </si>
  <si>
    <t>MOORE</t>
  </si>
  <si>
    <t>RANDALL</t>
  </si>
  <si>
    <t>ROBERTS</t>
  </si>
  <si>
    <t>HUTCHINSON</t>
  </si>
  <si>
    <t>WHEELER</t>
  </si>
  <si>
    <t>OCHILTREE</t>
  </si>
  <si>
    <t>CASTRO</t>
  </si>
  <si>
    <t>POTTER</t>
  </si>
  <si>
    <t>HALE</t>
  </si>
  <si>
    <t>ANDREWS</t>
  </si>
  <si>
    <t>COCHRAN</t>
  </si>
  <si>
    <t>DAWSON</t>
  </si>
  <si>
    <t>ECTOR</t>
  </si>
  <si>
    <t xml:space="preserve">GAINES </t>
  </si>
  <si>
    <t>TERRY</t>
  </si>
  <si>
    <t>YOAKUM</t>
  </si>
  <si>
    <t>MOTLEY</t>
  </si>
  <si>
    <t>DICKENS</t>
  </si>
  <si>
    <t>CROSBY</t>
  </si>
  <si>
    <t>GAINES</t>
  </si>
  <si>
    <t>GARZA</t>
  </si>
  <si>
    <t>BAILEY</t>
  </si>
  <si>
    <t>KING</t>
  </si>
  <si>
    <t>LYNN</t>
  </si>
  <si>
    <t>SCURRY</t>
  </si>
  <si>
    <t xml:space="preserve">BAILEY </t>
  </si>
  <si>
    <t>PARMER</t>
  </si>
  <si>
    <t xml:space="preserve">HOCKLEY </t>
  </si>
  <si>
    <t xml:space="preserve">DAWSON </t>
  </si>
  <si>
    <t>COTTLE</t>
  </si>
  <si>
    <t>KENT</t>
  </si>
  <si>
    <t xml:space="preserve">ARCHER </t>
  </si>
  <si>
    <t>CLAY</t>
  </si>
  <si>
    <t>WICHITA</t>
  </si>
  <si>
    <t>BORDEN</t>
  </si>
  <si>
    <t>FISHER</t>
  </si>
  <si>
    <t>MITCHELL</t>
  </si>
  <si>
    <t>NOLAN</t>
  </si>
  <si>
    <t>BROWN</t>
  </si>
  <si>
    <t>CALLAHAN</t>
  </si>
  <si>
    <t xml:space="preserve">COLEMAN </t>
  </si>
  <si>
    <t>COMANCHE</t>
  </si>
  <si>
    <t>EASTLAND</t>
  </si>
  <si>
    <t>HASKELL</t>
  </si>
  <si>
    <t>JONES</t>
  </si>
  <si>
    <t>KNOX</t>
  </si>
  <si>
    <t>RUNNELS</t>
  </si>
  <si>
    <t>SHACKELFORD</t>
  </si>
  <si>
    <t>STEPHENS</t>
  </si>
  <si>
    <t xml:space="preserve">CALLAHAN </t>
  </si>
  <si>
    <t>COLEMAN</t>
  </si>
  <si>
    <t xml:space="preserve">EASTLAND </t>
  </si>
  <si>
    <t>MASON</t>
  </si>
  <si>
    <t>ERATH</t>
  </si>
  <si>
    <t>MCCULLOCH</t>
  </si>
  <si>
    <t>LLANO</t>
  </si>
  <si>
    <t>HAMILTON</t>
  </si>
  <si>
    <t>MILLS</t>
  </si>
  <si>
    <t>LAMPASAS</t>
  </si>
  <si>
    <t>SAN SABA</t>
  </si>
  <si>
    <t>ARCHER</t>
  </si>
  <si>
    <t>BAYLOR</t>
  </si>
  <si>
    <t xml:space="preserve">SAN SABA </t>
  </si>
  <si>
    <t xml:space="preserve">CLAY </t>
  </si>
  <si>
    <t>DENTON</t>
  </si>
  <si>
    <t>FOARD</t>
  </si>
  <si>
    <t xml:space="preserve">HARDEMAN </t>
  </si>
  <si>
    <t>HARDEMAN</t>
  </si>
  <si>
    <t>JACK</t>
  </si>
  <si>
    <t>MONTAGUE</t>
  </si>
  <si>
    <t>WILBARGER</t>
  </si>
  <si>
    <t>WISE</t>
  </si>
  <si>
    <t>PALO PINTO</t>
  </si>
  <si>
    <t>YOUNG</t>
  </si>
  <si>
    <t>THROCKMORTON</t>
  </si>
  <si>
    <t>FAYETTE</t>
  </si>
  <si>
    <t>HOUSTON</t>
  </si>
  <si>
    <t>JOHNSON</t>
  </si>
  <si>
    <t>MIDLAND</t>
  </si>
  <si>
    <t>REEVES</t>
  </si>
  <si>
    <t>STERLING</t>
  </si>
  <si>
    <t>STONEWALL</t>
  </si>
  <si>
    <t>TAYLOR</t>
  </si>
  <si>
    <t>TOM GREEN</t>
  </si>
  <si>
    <t>WINKLER</t>
  </si>
  <si>
    <t>COKE</t>
  </si>
  <si>
    <t>COLLIN</t>
  </si>
  <si>
    <t>TARRANT</t>
  </si>
  <si>
    <t>GRAYSON</t>
  </si>
  <si>
    <t>DALLAS</t>
  </si>
  <si>
    <t>RED RIVER</t>
  </si>
  <si>
    <t>WOOD</t>
  </si>
  <si>
    <t>DELTA</t>
  </si>
  <si>
    <t>FANNIN</t>
  </si>
  <si>
    <t>ROCKWALL</t>
  </si>
  <si>
    <t>VAN ZANDT</t>
  </si>
  <si>
    <t>LAMAR</t>
  </si>
  <si>
    <t>HOPKINS</t>
  </si>
  <si>
    <t>HUNT</t>
  </si>
  <si>
    <t>RAINS</t>
  </si>
  <si>
    <t xml:space="preserve">FRANKLIN </t>
  </si>
  <si>
    <t xml:space="preserve">DALLAS </t>
  </si>
  <si>
    <t>TRAVIS</t>
  </si>
  <si>
    <t>KAUFMAN</t>
  </si>
  <si>
    <t>COOKE</t>
  </si>
  <si>
    <t xml:space="preserve">WISE </t>
  </si>
  <si>
    <t>BELL</t>
  </si>
  <si>
    <t>BOSQUE</t>
  </si>
  <si>
    <t>ELLIS</t>
  </si>
  <si>
    <t>HILL</t>
  </si>
  <si>
    <t>SMITH</t>
  </si>
  <si>
    <t>HOOD</t>
  </si>
  <si>
    <t>GREGG</t>
  </si>
  <si>
    <t xml:space="preserve">PARKER </t>
  </si>
  <si>
    <t xml:space="preserve">GRAYSON </t>
  </si>
  <si>
    <t>HENDERSON</t>
  </si>
  <si>
    <t>NAVARRO</t>
  </si>
  <si>
    <t xml:space="preserve">ELLIS </t>
  </si>
  <si>
    <t>PARKER</t>
  </si>
  <si>
    <t>LIMESTONE</t>
  </si>
  <si>
    <t xml:space="preserve">HILL </t>
  </si>
  <si>
    <t xml:space="preserve">DENTON </t>
  </si>
  <si>
    <t xml:space="preserve">PALO PINTO </t>
  </si>
  <si>
    <t>ANGELINA</t>
  </si>
  <si>
    <t>NACOGDOCHES</t>
  </si>
  <si>
    <t>UPSHUR</t>
  </si>
  <si>
    <t>SHELBY</t>
  </si>
  <si>
    <t>MORRIS</t>
  </si>
  <si>
    <t>HARRISON</t>
  </si>
  <si>
    <t>CHEROKEE</t>
  </si>
  <si>
    <t>MARION</t>
  </si>
  <si>
    <t>ANDERSON</t>
  </si>
  <si>
    <t xml:space="preserve">TITUS </t>
  </si>
  <si>
    <t>PANOLA</t>
  </si>
  <si>
    <t>RUSK</t>
  </si>
  <si>
    <t xml:space="preserve">GREGG </t>
  </si>
  <si>
    <t xml:space="preserve">RUSK </t>
  </si>
  <si>
    <t>CAMP</t>
  </si>
  <si>
    <t>FRANKLIN</t>
  </si>
  <si>
    <t>TITUS</t>
  </si>
  <si>
    <t>BOWIE</t>
  </si>
  <si>
    <t xml:space="preserve">CASS </t>
  </si>
  <si>
    <t>CASS</t>
  </si>
  <si>
    <t xml:space="preserve">CAMP </t>
  </si>
  <si>
    <t>BREWSTER</t>
  </si>
  <si>
    <t>PRESIDIO</t>
  </si>
  <si>
    <t>CULBERSON</t>
  </si>
  <si>
    <t>JEFF DAVIS</t>
  </si>
  <si>
    <t>PECOS</t>
  </si>
  <si>
    <t>TERRELL</t>
  </si>
  <si>
    <t xml:space="preserve">PRESIDIO </t>
  </si>
  <si>
    <t>EL PASO</t>
  </si>
  <si>
    <t>HUDSPETH</t>
  </si>
  <si>
    <t>GLASSCOCK</t>
  </si>
  <si>
    <t>REAGAN</t>
  </si>
  <si>
    <t>MARTIN</t>
  </si>
  <si>
    <t xml:space="preserve">MIDLAND </t>
  </si>
  <si>
    <t>Year</t>
  </si>
  <si>
    <t xml:space="preserve">Municipal </t>
  </si>
  <si>
    <t>County</t>
  </si>
  <si>
    <t>Region</t>
  </si>
  <si>
    <t>Region Name</t>
  </si>
  <si>
    <t>Anderson</t>
  </si>
  <si>
    <t>Region 5</t>
  </si>
  <si>
    <t>Tyler</t>
  </si>
  <si>
    <t>Andrews</t>
  </si>
  <si>
    <t>Region 7</t>
  </si>
  <si>
    <t>Midland</t>
  </si>
  <si>
    <t>Angelina</t>
  </si>
  <si>
    <t>Region 10</t>
  </si>
  <si>
    <t>Beaumont</t>
  </si>
  <si>
    <t>Aransas</t>
  </si>
  <si>
    <t>Region 14</t>
  </si>
  <si>
    <t>Corpus Christi</t>
  </si>
  <si>
    <t>Archer</t>
  </si>
  <si>
    <t>Region 3</t>
  </si>
  <si>
    <t>Abilene</t>
  </si>
  <si>
    <t>Armstrong</t>
  </si>
  <si>
    <t>Region 1</t>
  </si>
  <si>
    <t>Amarillo</t>
  </si>
  <si>
    <t>Atascosa</t>
  </si>
  <si>
    <t>Region 13</t>
  </si>
  <si>
    <t>San Antonio</t>
  </si>
  <si>
    <t>Austin</t>
  </si>
  <si>
    <t>Region 12</t>
  </si>
  <si>
    <t>Houston</t>
  </si>
  <si>
    <t>Bailey</t>
  </si>
  <si>
    <t>Region 2</t>
  </si>
  <si>
    <t>Lubbock</t>
  </si>
  <si>
    <t>Bandera</t>
  </si>
  <si>
    <t>Bastrop</t>
  </si>
  <si>
    <t>Region 11</t>
  </si>
  <si>
    <t>Baylor</t>
  </si>
  <si>
    <t>Bee</t>
  </si>
  <si>
    <t>Bell</t>
  </si>
  <si>
    <t>Region 9</t>
  </si>
  <si>
    <t>Waco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</si>
  <si>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</si>
  <si>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</si>
  <si>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</si>
  <si>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</si>
  <si>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</si>
  <si>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</si>
  <si>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</si>
  <si>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</si>
  <si>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Region 6</t>
  </si>
  <si>
    <t>El Paso</t>
  </si>
  <si>
    <t>Briscoe</t>
  </si>
  <si>
    <t>Brooks</t>
  </si>
  <si>
    <t>Region 15</t>
  </si>
  <si>
    <t>Harlingen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</si>
  <si>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</si>
  <si>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</si>
  <si>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</si>
  <si>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</si>
  <si>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</si>
  <si>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</si>
  <si>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</si>
  <si>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</si>
  <si>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</si>
  <si>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</si>
  <si>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</si>
  <si>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</si>
  <si>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</si>
  <si>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</si>
  <si>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</si>
  <si>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</si>
  <si>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</si>
  <si>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Region 8</t>
  </si>
  <si>
    <t>San Angelo</t>
  </si>
  <si>
    <t>Coleman</t>
  </si>
  <si>
    <t>Collin</t>
  </si>
  <si>
    <t>Region 4</t>
  </si>
  <si>
    <t>Dallas/Ft. Worth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</si>
  <si>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</si>
  <si>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</si>
  <si>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</si>
  <si>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</si>
  <si>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</si>
  <si>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</si>
  <si>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</si>
  <si>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</si>
  <si>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</si>
  <si>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</si>
  <si>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</si>
  <si>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</si>
  <si>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</si>
  <si>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</si>
  <si>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</si>
  <si>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</si>
  <si>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</si>
  <si>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</si>
  <si>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</si>
  <si>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</si>
  <si>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</si>
  <si>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Region 16</t>
  </si>
  <si>
    <t>Laredo</t>
  </si>
  <si>
    <t>Donley</t>
  </si>
  <si>
    <t>Duval</t>
  </si>
  <si>
    <t>Eastland</t>
  </si>
  <si>
    <t>Ector</t>
  </si>
  <si>
    <t>Edwards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</si>
  <si>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</si>
  <si>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</si>
  <si>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</si>
  <si>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</si>
  <si>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</si>
  <si>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</si>
  <si>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</si>
  <si>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</si>
  <si>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</si>
  <si>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</si>
  <si>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</si>
  <si>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</si>
  <si>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</si>
  <si>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</si>
  <si>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</si>
  <si>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</si>
  <si>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</si>
  <si>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</si>
  <si>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</si>
  <si>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</si>
  <si>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</si>
  <si>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</si>
  <si>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</si>
  <si>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</si>
  <si>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</si>
  <si>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</si>
  <si>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</si>
  <si>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</si>
  <si>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</si>
  <si>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</si>
  <si>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</si>
  <si>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</si>
  <si>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</si>
  <si>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</si>
  <si>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</si>
  <si>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</si>
  <si>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</si>
  <si>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</si>
  <si>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</si>
  <si>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</si>
  <si>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</si>
  <si>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</si>
  <si>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</si>
  <si>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</si>
  <si>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</si>
  <si>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</si>
  <si>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</si>
  <si>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</si>
  <si>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</si>
  <si>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</si>
  <si>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</si>
  <si>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</si>
  <si>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</si>
  <si>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</si>
  <si>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</si>
  <si>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</si>
  <si>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</si>
  <si>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</si>
  <si>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</si>
  <si>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</si>
  <si>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</si>
  <si>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</si>
  <si>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</si>
  <si>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</si>
  <si>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</si>
  <si>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</si>
  <si>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</si>
  <si>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 Salle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</si>
  <si>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</si>
  <si>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</si>
  <si>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</si>
  <si>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</si>
  <si>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</si>
  <si>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</si>
  <si>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</si>
  <si>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</si>
  <si>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</si>
  <si>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</si>
  <si>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</si>
  <si>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</si>
  <si>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</si>
  <si>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</si>
  <si>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</si>
  <si>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</si>
  <si>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</si>
  <si>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</si>
  <si>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</si>
  <si>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</si>
  <si>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</si>
  <si>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</si>
  <si>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</si>
  <si>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</si>
  <si>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</si>
  <si>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</si>
  <si>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</si>
  <si>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</si>
  <si>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</si>
  <si>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</si>
  <si>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</si>
  <si>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</si>
  <si>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</si>
  <si>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</si>
  <si>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</si>
  <si>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</si>
  <si>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</si>
  <si>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</si>
  <si>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</si>
  <si>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</si>
  <si>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</si>
  <si>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</si>
  <si>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</si>
  <si>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</si>
  <si>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</si>
  <si>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</si>
  <si>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</si>
  <si>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</si>
  <si>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</si>
  <si>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</si>
  <si>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</si>
  <si>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</si>
  <si>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</si>
  <si>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</si>
  <si>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</si>
  <si>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</si>
  <si>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</si>
  <si>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</si>
  <si>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</si>
  <si>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</si>
  <si>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</si>
  <si>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</si>
  <si>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</si>
  <si>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</si>
  <si>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</si>
  <si>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</si>
  <si>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</si>
  <si>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</si>
  <si>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</si>
  <si>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</si>
  <si>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</si>
  <si>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</si>
  <si>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</si>
  <si>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</si>
  <si>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</si>
  <si>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</si>
  <si>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</si>
  <si>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</si>
  <si>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</si>
  <si>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</si>
  <si>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</si>
  <si>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</si>
  <si>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</si>
  <si>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</si>
  <si>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</si>
  <si>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</si>
  <si>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</si>
  <si>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</si>
  <si>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</si>
  <si>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</si>
  <si>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</si>
  <si>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</si>
  <si>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</si>
  <si>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</si>
  <si>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</si>
  <si>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</si>
  <si>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</si>
  <si>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</si>
  <si>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</si>
  <si>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</si>
  <si>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</si>
  <si>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</si>
  <si>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</si>
  <si>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</si>
  <si>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</si>
  <si>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</si>
  <si>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</si>
  <si>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</si>
  <si>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</si>
  <si>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</si>
  <si>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</si>
  <si>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</si>
  <si>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 xml:space="preserve">GLASSCOCK </t>
  </si>
  <si>
    <t xml:space="preserve">CROCKETT </t>
  </si>
  <si>
    <t xml:space="preserve">WARD </t>
  </si>
  <si>
    <t xml:space="preserve">ECTOR </t>
  </si>
  <si>
    <t xml:space="preserve">LOVING </t>
  </si>
  <si>
    <t xml:space="preserve">TOM GREEN </t>
  </si>
  <si>
    <t xml:space="preserve">EL PASO </t>
  </si>
  <si>
    <t xml:space="preserve">ANDREWS </t>
  </si>
  <si>
    <t xml:space="preserve">TERRELL </t>
  </si>
  <si>
    <t xml:space="preserve">UPTON </t>
  </si>
  <si>
    <t xml:space="preserve">CRANE </t>
  </si>
  <si>
    <t xml:space="preserve">WINKLER </t>
  </si>
  <si>
    <t xml:space="preserve">REEVES </t>
  </si>
  <si>
    <t xml:space="preserve">HOWARD </t>
  </si>
  <si>
    <t xml:space="preserve">JEFF DAVIS </t>
  </si>
  <si>
    <t xml:space="preserve">STERLING </t>
  </si>
  <si>
    <t xml:space="preserve">REAGAN </t>
  </si>
  <si>
    <t xml:space="preserve">PECOS </t>
  </si>
  <si>
    <t xml:space="preserve">MARTIN </t>
  </si>
  <si>
    <t xml:space="preserve">BREWSTER </t>
  </si>
  <si>
    <t>CRANE</t>
  </si>
  <si>
    <t xml:space="preserve">CULBERSON </t>
  </si>
  <si>
    <t xml:space="preserve">SCHLEICHER </t>
  </si>
  <si>
    <t xml:space="preserve">KIMBLE </t>
  </si>
  <si>
    <t xml:space="preserve">EDWARDS </t>
  </si>
  <si>
    <t xml:space="preserve">MENARD </t>
  </si>
  <si>
    <t xml:space="preserve">SUTTON </t>
  </si>
  <si>
    <t>REAL</t>
  </si>
  <si>
    <t xml:space="preserve">RUNNELS </t>
  </si>
  <si>
    <t xml:space="preserve">COKE </t>
  </si>
  <si>
    <t xml:space="preserve">IRION </t>
  </si>
  <si>
    <t xml:space="preserve">CONCHO </t>
  </si>
  <si>
    <t xml:space="preserve">NAVARRO </t>
  </si>
  <si>
    <t xml:space="preserve">FREESTONE </t>
  </si>
  <si>
    <t xml:space="preserve">ROBERTSON </t>
  </si>
  <si>
    <t xml:space="preserve">LEON </t>
  </si>
  <si>
    <t xml:space="preserve">MCLENNAN </t>
  </si>
  <si>
    <t xml:space="preserve">FALLS </t>
  </si>
  <si>
    <t xml:space="preserve">LIMESTONE </t>
  </si>
  <si>
    <t xml:space="preserve">CORYELL </t>
  </si>
  <si>
    <t xml:space="preserve">BOSQUE </t>
  </si>
  <si>
    <t xml:space="preserve">HAMILTON </t>
  </si>
  <si>
    <t xml:space="preserve">BELL </t>
  </si>
  <si>
    <t xml:space="preserve">ANDERSON </t>
  </si>
  <si>
    <t xml:space="preserve">MILAM </t>
  </si>
  <si>
    <t xml:space="preserve">LEE </t>
  </si>
  <si>
    <t xml:space="preserve">FAYETTE </t>
  </si>
  <si>
    <t xml:space="preserve">JEFFERSON </t>
  </si>
  <si>
    <t xml:space="preserve">HARRIS </t>
  </si>
  <si>
    <t xml:space="preserve">AUSTIN </t>
  </si>
  <si>
    <t xml:space="preserve">HOUSTON </t>
  </si>
  <si>
    <t xml:space="preserve">WASHINGTON </t>
  </si>
  <si>
    <t xml:space="preserve">BASTROP </t>
  </si>
  <si>
    <t xml:space="preserve">BURLESON </t>
  </si>
  <si>
    <t xml:space="preserve">WALLER </t>
  </si>
  <si>
    <t xml:space="preserve">POLK </t>
  </si>
  <si>
    <t xml:space="preserve">BRAZOS </t>
  </si>
  <si>
    <t xml:space="preserve">MONTGOMERY </t>
  </si>
  <si>
    <t xml:space="preserve">WALKER </t>
  </si>
  <si>
    <t xml:space="preserve">MADISON </t>
  </si>
  <si>
    <t xml:space="preserve">COLORADO </t>
  </si>
  <si>
    <t xml:space="preserve">WHARTON </t>
  </si>
  <si>
    <t xml:space="preserve">GRIMES </t>
  </si>
  <si>
    <t>BRAZOS</t>
  </si>
  <si>
    <t xml:space="preserve">JOHNSON </t>
  </si>
  <si>
    <t xml:space="preserve">HOOD </t>
  </si>
  <si>
    <t xml:space="preserve">LAMPASAS </t>
  </si>
  <si>
    <t xml:space="preserve">MILLS </t>
  </si>
  <si>
    <t>CORYELL</t>
  </si>
  <si>
    <t xml:space="preserve">ANGELINA </t>
  </si>
  <si>
    <t xml:space="preserve">LIBERTY </t>
  </si>
  <si>
    <t xml:space="preserve">JASPER </t>
  </si>
  <si>
    <t xml:space="preserve">TRINITY </t>
  </si>
  <si>
    <t xml:space="preserve">TYLER </t>
  </si>
  <si>
    <t>SAN JACINTO</t>
  </si>
  <si>
    <t xml:space="preserve">CHAMBERS </t>
  </si>
  <si>
    <t xml:space="preserve">ORANGE </t>
  </si>
  <si>
    <t xml:space="preserve">HARDIN </t>
  </si>
  <si>
    <t xml:space="preserve">SHELBY </t>
  </si>
  <si>
    <t xml:space="preserve">NACOGDOCHES </t>
  </si>
  <si>
    <t xml:space="preserve">SAN AUGUSTINE </t>
  </si>
  <si>
    <t xml:space="preserve">CHEROKEE </t>
  </si>
  <si>
    <t xml:space="preserve">SABINE </t>
  </si>
  <si>
    <t xml:space="preserve">NEWTON </t>
  </si>
  <si>
    <t xml:space="preserve">WILLIAMSON </t>
  </si>
  <si>
    <t xml:space="preserve">BURNET </t>
  </si>
  <si>
    <t xml:space="preserve">TRAVIS </t>
  </si>
  <si>
    <t xml:space="preserve">BANDERA </t>
  </si>
  <si>
    <t xml:space="preserve">BEXAR </t>
  </si>
  <si>
    <t xml:space="preserve">CALDWELL </t>
  </si>
  <si>
    <t xml:space="preserve">COMAL </t>
  </si>
  <si>
    <t xml:space="preserve">FRIO </t>
  </si>
  <si>
    <t xml:space="preserve">GARZA </t>
  </si>
  <si>
    <t xml:space="preserve">GILLESPIE </t>
  </si>
  <si>
    <t xml:space="preserve">GOLIAD </t>
  </si>
  <si>
    <t xml:space="preserve">GONZALES </t>
  </si>
  <si>
    <t xml:space="preserve">GUADALUPE </t>
  </si>
  <si>
    <t xml:space="preserve">KENDALL </t>
  </si>
  <si>
    <t xml:space="preserve">LAVACA </t>
  </si>
  <si>
    <t xml:space="preserve">LLANO </t>
  </si>
  <si>
    <t xml:space="preserve">MEDINA </t>
  </si>
  <si>
    <t xml:space="preserve">DEWITT </t>
  </si>
  <si>
    <t xml:space="preserve">ATASCOSA </t>
  </si>
  <si>
    <t xml:space="preserve">WILSON </t>
  </si>
  <si>
    <t xml:space="preserve">BLANCO </t>
  </si>
  <si>
    <t xml:space="preserve">HAYS </t>
  </si>
  <si>
    <t>HAYS</t>
  </si>
  <si>
    <t xml:space="preserve">BRAZORIA </t>
  </si>
  <si>
    <t xml:space="preserve">FORT BEND </t>
  </si>
  <si>
    <t>GALVESTON</t>
  </si>
  <si>
    <t xml:space="preserve">GALVESTON </t>
  </si>
  <si>
    <t>FORT BEND</t>
  </si>
  <si>
    <t>BRAZORIA</t>
  </si>
  <si>
    <t>HARRIS</t>
  </si>
  <si>
    <t>CHAMBERS</t>
  </si>
  <si>
    <t>WALLER</t>
  </si>
  <si>
    <t>LIBERTY</t>
  </si>
  <si>
    <t>MONTGOMERY</t>
  </si>
  <si>
    <t>WALKER</t>
  </si>
  <si>
    <t>JEFFERSON</t>
  </si>
  <si>
    <t>NUECES</t>
  </si>
  <si>
    <t>WHARTON</t>
  </si>
  <si>
    <t>MATAGORDA</t>
  </si>
  <si>
    <t>CALHOUN</t>
  </si>
  <si>
    <t>VICTORIA</t>
  </si>
  <si>
    <t>COLORADO</t>
  </si>
  <si>
    <t>BEXAR</t>
  </si>
  <si>
    <t>COMAL</t>
  </si>
  <si>
    <t>WILSON</t>
  </si>
  <si>
    <t>SAN PATRICIO</t>
  </si>
  <si>
    <t>BANDERA</t>
  </si>
  <si>
    <t>ATASCOSA</t>
  </si>
  <si>
    <t>KENDALL</t>
  </si>
  <si>
    <t>LAVACA</t>
  </si>
  <si>
    <t>DEWITT</t>
  </si>
  <si>
    <t>KERR</t>
  </si>
  <si>
    <t xml:space="preserve">UVALDE </t>
  </si>
  <si>
    <t>MAVERICK</t>
  </si>
  <si>
    <t>MEDINA</t>
  </si>
  <si>
    <t>GUADALUPE</t>
  </si>
  <si>
    <t xml:space="preserve">KARNES </t>
  </si>
  <si>
    <t>JACKSON</t>
  </si>
  <si>
    <t>GONZALES</t>
  </si>
  <si>
    <t>GOLIAD</t>
  </si>
  <si>
    <t>KLEBERG</t>
  </si>
  <si>
    <t>REFUGIO</t>
  </si>
  <si>
    <t>BROOKS</t>
  </si>
  <si>
    <t>BEE</t>
  </si>
  <si>
    <t>JIM WELLS</t>
  </si>
  <si>
    <t>ARANSAS</t>
  </si>
  <si>
    <t>DUVAL</t>
  </si>
  <si>
    <t>LIVE OAK</t>
  </si>
  <si>
    <t xml:space="preserve">MCMULLEN </t>
  </si>
  <si>
    <t>KENEDY</t>
  </si>
  <si>
    <t xml:space="preserve">CAMERON </t>
  </si>
  <si>
    <t>HIDALGO</t>
  </si>
  <si>
    <t>CAMERON</t>
  </si>
  <si>
    <t>STARR</t>
  </si>
  <si>
    <t>WILLACY</t>
  </si>
  <si>
    <t xml:space="preserve">WEBB </t>
  </si>
  <si>
    <t xml:space="preserve">HIDALGO </t>
  </si>
  <si>
    <t xml:space="preserve">ZAVALA </t>
  </si>
  <si>
    <t>LA SALLE</t>
  </si>
  <si>
    <t>ZAPATA</t>
  </si>
  <si>
    <t>JIM HOGG</t>
  </si>
  <si>
    <t>WEBB</t>
  </si>
  <si>
    <t xml:space="preserve"> VAL VERDE </t>
  </si>
  <si>
    <t xml:space="preserve">DIMMIT </t>
  </si>
  <si>
    <t xml:space="preserve"> ATASCOSA </t>
  </si>
  <si>
    <t>DIMMIT</t>
  </si>
  <si>
    <t xml:space="preserve">MAVERICK </t>
  </si>
  <si>
    <t xml:space="preserve">KINNEY </t>
  </si>
  <si>
    <t xml:space="preserve">ZAPATA </t>
  </si>
  <si>
    <t>CFIPS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</si>
  <si>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</si>
  <si>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</si>
  <si>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</si>
  <si>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</si>
  <si>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</si>
  <si>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</si>
  <si>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</si>
  <si>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</si>
  <si>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</si>
  <si>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</si>
  <si>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</si>
  <si>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</si>
  <si>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</si>
  <si>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</si>
  <si>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</si>
  <si>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</si>
  <si>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</si>
  <si>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</si>
  <si>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</si>
  <si>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</si>
  <si>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</si>
  <si>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</si>
  <si>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</si>
  <si>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</si>
  <si>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</si>
  <si>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</si>
  <si>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</si>
  <si>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</si>
  <si>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</si>
  <si>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</si>
  <si>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</si>
  <si>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</si>
  <si>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</si>
  <si>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</si>
  <si>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</si>
  <si>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</si>
  <si>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</si>
  <si>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</si>
  <si>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</si>
  <si>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</si>
  <si>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</si>
  <si>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</si>
  <si>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</si>
  <si>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</si>
  <si>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</si>
  <si>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</si>
  <si>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</si>
  <si>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</si>
  <si>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</si>
  <si>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</si>
  <si>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</si>
  <si>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</si>
  <si>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</si>
  <si>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</si>
  <si>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</si>
  <si>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</si>
  <si>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</si>
  <si>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</si>
  <si>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</si>
  <si>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</si>
  <si>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</si>
  <si>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</si>
  <si>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</si>
  <si>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</si>
  <si>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</si>
  <si>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</si>
  <si>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</si>
  <si>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</si>
  <si>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</si>
  <si>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</si>
  <si>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</si>
  <si>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</si>
  <si>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</si>
  <si>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</si>
  <si>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</si>
  <si>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</si>
  <si>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</si>
  <si>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</si>
  <si>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</si>
  <si>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</si>
  <si>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</si>
  <si>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</si>
  <si>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</si>
  <si>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</si>
  <si>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</si>
  <si>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</si>
  <si>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</si>
  <si>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</si>
  <si>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</si>
  <si>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</si>
  <si>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</si>
  <si>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</si>
  <si>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</si>
  <si>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</si>
  <si>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</si>
  <si>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</si>
  <si>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</si>
  <si>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</si>
  <si>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</si>
  <si>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</si>
  <si>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</si>
  <si>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</si>
  <si>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</si>
  <si>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</si>
  <si>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</si>
  <si>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</si>
  <si>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</si>
  <si>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</si>
  <si>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</si>
  <si>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</si>
  <si>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</si>
  <si>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</si>
  <si>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</si>
  <si>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</si>
  <si>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</si>
  <si>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</si>
  <si>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</si>
  <si>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</si>
  <si>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</si>
  <si>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</si>
  <si>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</si>
  <si>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</si>
  <si>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</si>
  <si>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</si>
  <si>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</si>
  <si>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</si>
  <si>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</si>
  <si>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</si>
  <si>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</si>
  <si>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</si>
  <si>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</si>
  <si>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</si>
  <si>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</si>
  <si>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</si>
  <si>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</si>
  <si>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</si>
  <si>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</si>
  <si>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</si>
  <si>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</si>
  <si>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</si>
  <si>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</si>
  <si>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</si>
  <si>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</si>
  <si>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</si>
  <si>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</si>
  <si>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</si>
  <si>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</si>
  <si>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</si>
  <si>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</si>
  <si>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</si>
  <si>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</si>
  <si>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</si>
  <si>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</si>
  <si>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</si>
  <si>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</si>
  <si>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</si>
  <si>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</si>
  <si>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</si>
  <si>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</si>
  <si>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</si>
  <si>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</si>
  <si>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</si>
  <si>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</si>
  <si>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</si>
  <si>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</si>
  <si>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</si>
  <si>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</si>
  <si>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</si>
  <si>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</si>
  <si>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</si>
  <si>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</si>
  <si>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</si>
  <si>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</si>
  <si>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</si>
  <si>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</si>
  <si>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</si>
  <si>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</si>
  <si>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</si>
  <si>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</si>
  <si>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</si>
  <si>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</si>
  <si>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</si>
  <si>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</si>
  <si>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</si>
  <si>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</si>
  <si>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</si>
  <si>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</si>
  <si>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</si>
  <si>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</si>
  <si>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</si>
  <si>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</si>
  <si>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</si>
  <si>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</si>
  <si>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</si>
  <si>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</si>
  <si>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</si>
  <si>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</si>
  <si>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</si>
  <si>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</si>
  <si>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</si>
  <si>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</si>
  <si>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</si>
  <si>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</si>
  <si>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</si>
  <si>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</si>
  <si>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</si>
  <si>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</si>
  <si>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</si>
  <si>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</si>
  <si>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</si>
  <si>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</si>
  <si>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</si>
  <si>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</si>
  <si>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</si>
  <si>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</si>
  <si>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</si>
  <si>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</si>
  <si>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</si>
  <si>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</si>
  <si>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</si>
  <si>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</si>
  <si>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</si>
  <si>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</si>
  <si>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</si>
  <si>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</si>
  <si>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</si>
  <si>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</si>
  <si>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</si>
  <si>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</si>
  <si>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</si>
  <si>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</si>
  <si>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</si>
  <si>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</si>
  <si>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</si>
  <si>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</si>
  <si>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</si>
  <si>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</si>
  <si>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</si>
  <si>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</si>
  <si>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</si>
  <si>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</si>
  <si>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</si>
  <si>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</si>
  <si>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</si>
  <si>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</si>
  <si>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497</t>
  </si>
  <si>
    <t>499</t>
  </si>
  <si>
    <t>501</t>
  </si>
  <si>
    <t>503</t>
  </si>
  <si>
    <t>505</t>
  </si>
  <si>
    <t>507</t>
  </si>
  <si>
    <t xml:space="preserve"> LAREDO</t>
  </si>
  <si>
    <t>RN101668754</t>
  </si>
  <si>
    <t>571A</t>
  </si>
  <si>
    <t>MCMULLEN COUNTY LANDFILL</t>
  </si>
  <si>
    <t xml:space="preserve"> HARLINGEN</t>
  </si>
  <si>
    <t xml:space="preserve"> CORPUS CHRISTI</t>
  </si>
  <si>
    <t>RN101445666</t>
  </si>
  <si>
    <t>50052</t>
  </si>
  <si>
    <t>US ECOLOGY TEXAS INC</t>
  </si>
  <si>
    <t>1522B</t>
  </si>
  <si>
    <t xml:space="preserve"> SAN ANTONIO</t>
  </si>
  <si>
    <t xml:space="preserve"> HOUSTON</t>
  </si>
  <si>
    <t>RN102151099</t>
  </si>
  <si>
    <t>39039</t>
  </si>
  <si>
    <t>GULF WEST LANDFILL TX LP</t>
  </si>
  <si>
    <t>RN100225911</t>
  </si>
  <si>
    <t>39001</t>
  </si>
  <si>
    <t>CONROE INDUSTRIAL NON-HAZARDOUS LANDFILL</t>
  </si>
  <si>
    <t>RN100216878</t>
  </si>
  <si>
    <t>1193</t>
  </si>
  <si>
    <t>WHISPERING PINES LANDFILL</t>
  </si>
  <si>
    <t xml:space="preserve"> AUSTIN</t>
  </si>
  <si>
    <t xml:space="preserve"> BEAUMONT</t>
  </si>
  <si>
    <t xml:space="preserve"> WACO</t>
  </si>
  <si>
    <t xml:space="preserve"> SAN ANGELO</t>
  </si>
  <si>
    <t xml:space="preserve"> MIDLAND</t>
  </si>
  <si>
    <t xml:space="preserve"> EL PASO</t>
  </si>
  <si>
    <t xml:space="preserve"> TYLER</t>
  </si>
  <si>
    <t xml:space="preserve"> DFW METROPLEX</t>
  </si>
  <si>
    <t>RN100782663</t>
  </si>
  <si>
    <t>534</t>
  </si>
  <si>
    <t>CITY OF CLEBURNE LANDFILL</t>
  </si>
  <si>
    <t>358C</t>
  </si>
  <si>
    <t>1417D</t>
  </si>
  <si>
    <t>RN100218031</t>
  </si>
  <si>
    <t>1209B</t>
  </si>
  <si>
    <t>CSC DISPOSAL AND LANDFILL</t>
  </si>
  <si>
    <t xml:space="preserve"> ABILENE</t>
  </si>
  <si>
    <t xml:space="preserve"> LUBBOCK</t>
  </si>
  <si>
    <t xml:space="preserve"> AMARILLO</t>
  </si>
  <si>
    <t>Row Labels</t>
  </si>
  <si>
    <t>Grand Total</t>
  </si>
  <si>
    <t>AgWaste</t>
  </si>
  <si>
    <t>year</t>
  </si>
  <si>
    <t>Region_Year</t>
  </si>
  <si>
    <t>rpinc</t>
  </si>
  <si>
    <t>pop</t>
  </si>
  <si>
    <t>AREA</t>
  </si>
  <si>
    <t>rpcpinc</t>
  </si>
  <si>
    <t>density</t>
  </si>
  <si>
    <t>Lookup</t>
  </si>
  <si>
    <t>Population</t>
  </si>
  <si>
    <t>p33</t>
  </si>
  <si>
    <t>p66</t>
  </si>
  <si>
    <t>Group</t>
  </si>
  <si>
    <t>WastePC</t>
  </si>
  <si>
    <t>IncomePC</t>
  </si>
  <si>
    <t>Descriptive Statistics</t>
  </si>
  <si>
    <t>Overall</t>
  </si>
  <si>
    <t>Low Den</t>
  </si>
  <si>
    <t>Mid Den</t>
  </si>
  <si>
    <t>High Den</t>
  </si>
  <si>
    <t>Sample Size</t>
  </si>
  <si>
    <t>Mean</t>
  </si>
  <si>
    <t>correlations</t>
  </si>
  <si>
    <t>Correl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</si>
  <si>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</si>
  <si>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</si>
  <si>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</si>
  <si>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</si>
  <si>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</si>
  <si>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</si>
  <si>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</si>
  <si>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</si>
  <si>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</si>
  <si>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</si>
  <si>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</si>
  <si>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</si>
  <si>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</si>
  <si>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</si>
  <si>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</si>
  <si>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</si>
  <si>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</si>
  <si>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</si>
  <si>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</si>
  <si>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</si>
  <si>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</si>
  <si>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</si>
  <si>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</si>
  <si>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</si>
  <si>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Log Data</t>
  </si>
  <si>
    <t>IncomePC^2</t>
  </si>
  <si>
    <t>Descriptive Statistics for Waste per Capita</t>
  </si>
  <si>
    <t>Minimum</t>
  </si>
  <si>
    <t>Median</t>
  </si>
  <si>
    <t>Max</t>
  </si>
  <si>
    <t>Std. Deviation</t>
  </si>
  <si>
    <t>Correlation</t>
  </si>
  <si>
    <t>Count of IncomePC</t>
  </si>
  <si>
    <t>0.44-0.515</t>
  </si>
  <si>
    <t>0.515-0.59</t>
  </si>
  <si>
    <t>0.59-0.665</t>
  </si>
  <si>
    <t>0.665-0.74</t>
  </si>
  <si>
    <t>0.74-0.815</t>
  </si>
  <si>
    <t>0.815-0.89</t>
  </si>
  <si>
    <t>0.89-0.965</t>
  </si>
  <si>
    <t>0.965-1.04</t>
  </si>
  <si>
    <t>1.04-1.115</t>
  </si>
  <si>
    <t>Class</t>
  </si>
  <si>
    <t>High</t>
  </si>
  <si>
    <t>Low</t>
  </si>
  <si>
    <t>Mid</t>
  </si>
  <si>
    <t>0.4-0.475</t>
  </si>
  <si>
    <t>0.475-0.55</t>
  </si>
  <si>
    <t>0.55-0.625</t>
  </si>
  <si>
    <t>0.625-0.7</t>
  </si>
  <si>
    <t>0.7-0.775</t>
  </si>
  <si>
    <t>0.775-0.85</t>
  </si>
  <si>
    <t>0.85-0.925</t>
  </si>
  <si>
    <t>0.925-1</t>
  </si>
  <si>
    <t>1-1.075</t>
  </si>
  <si>
    <t>1.075-1.15</t>
  </si>
  <si>
    <t>Confidence Intervals for the Mean</t>
  </si>
  <si>
    <t>LCL-90</t>
  </si>
  <si>
    <t>LCL-95</t>
  </si>
  <si>
    <t>LCL-99</t>
  </si>
  <si>
    <t>UCL-90</t>
  </si>
  <si>
    <t>UCL-95</t>
  </si>
  <si>
    <t>UCL-99</t>
  </si>
  <si>
    <t>Alpha/2</t>
  </si>
  <si>
    <t>Std. Dev</t>
  </si>
  <si>
    <t>Count</t>
  </si>
  <si>
    <t>n(a/2,n-1)</t>
  </si>
  <si>
    <t>90% ME</t>
  </si>
  <si>
    <t>95% ME</t>
  </si>
  <si>
    <t>99% ME</t>
  </si>
  <si>
    <t>Confidence Intervals for the Variance</t>
  </si>
  <si>
    <t>1-Alpha/2</t>
  </si>
  <si>
    <t>90%ChiU</t>
  </si>
  <si>
    <t>95%ChiU</t>
  </si>
  <si>
    <t>99%ChiU</t>
  </si>
  <si>
    <t>90%ChiL</t>
  </si>
  <si>
    <t>95%ChiL</t>
  </si>
  <si>
    <t>99%ChiL</t>
  </si>
  <si>
    <t>Sample Variance</t>
  </si>
  <si>
    <t>Single Sample Hypothesis Tests for Means: Two Tailed Tests</t>
  </si>
  <si>
    <t>1 - Alpha/2</t>
  </si>
  <si>
    <t>t-stat</t>
  </si>
  <si>
    <t>t-Crit 90</t>
  </si>
  <si>
    <t>Concl 90</t>
  </si>
  <si>
    <t>t-crit 95</t>
  </si>
  <si>
    <t>concl 95</t>
  </si>
  <si>
    <t>t-Crit 99</t>
  </si>
  <si>
    <t>Concl 99</t>
  </si>
  <si>
    <t>Singl Sample Hypothesis Tests for Variances, Two Tailed Tests</t>
  </si>
  <si>
    <t>Variance</t>
  </si>
  <si>
    <t>Chi-Stat</t>
  </si>
  <si>
    <t>Chi-L 90</t>
  </si>
  <si>
    <t>Chi-U 90</t>
  </si>
  <si>
    <t>Chi-L 95</t>
  </si>
  <si>
    <t>Chi-U 95</t>
  </si>
  <si>
    <t>Concl 95</t>
  </si>
  <si>
    <t>Chi-L 99</t>
  </si>
  <si>
    <t>Chi-U 99</t>
  </si>
  <si>
    <t>Criterion Variable Group Data</t>
  </si>
  <si>
    <t>Variance Test F-Stat</t>
  </si>
  <si>
    <t>P-Values</t>
  </si>
  <si>
    <t>Conclusion: Reject if P-value is greater than 0.95 or less than 0.05</t>
  </si>
  <si>
    <t>Variances assumed NOT equal</t>
  </si>
  <si>
    <t>t-Test: Two-Sample Assuming Unequal Variances</t>
  </si>
  <si>
    <t>Hypothesized Mean Difference</t>
  </si>
  <si>
    <t>P(T&lt;=t) one-tail</t>
  </si>
  <si>
    <t>t Critical one-tail</t>
  </si>
  <si>
    <t>P(T&lt;=t) two-tail</t>
  </si>
  <si>
    <t>t Critical two-tail</t>
  </si>
  <si>
    <t>Pair-Wise Confidences Intervals for Differnces in Means</t>
  </si>
  <si>
    <t>95% Confidence Intervals</t>
  </si>
  <si>
    <t>UCL</t>
  </si>
  <si>
    <t>LCL</t>
  </si>
  <si>
    <t>ME</t>
  </si>
  <si>
    <t>Pair-Wise Hypothesis Tests for Differences in Means</t>
  </si>
  <si>
    <t>t-statistics</t>
  </si>
  <si>
    <t xml:space="preserve">Mid </t>
  </si>
  <si>
    <t>Conclusions: Reject if P-Value is Less that 5%</t>
  </si>
  <si>
    <t>Low Density</t>
  </si>
  <si>
    <t>Mid Density</t>
  </si>
  <si>
    <t>High Density</t>
  </si>
  <si>
    <t>LN of WastePC</t>
  </si>
  <si>
    <t>LN of IncomePC</t>
  </si>
  <si>
    <t>R-Squared</t>
  </si>
  <si>
    <t>zr</t>
  </si>
  <si>
    <t>Tests of Individual Correlation Significance H0: p=0</t>
  </si>
  <si>
    <t>Two-Tailed Tests, alpha =</t>
  </si>
  <si>
    <t>t-calc</t>
  </si>
  <si>
    <t>t-Critical</t>
  </si>
  <si>
    <t>Conclusion</t>
  </si>
  <si>
    <t>Pair-Wise Correlation Test H0: pi = pj</t>
  </si>
  <si>
    <t>Z-calc</t>
  </si>
  <si>
    <t>Two-Tailed test, alpha</t>
  </si>
  <si>
    <t>Z-critical</t>
  </si>
  <si>
    <t>Conclusions</t>
  </si>
  <si>
    <t>Joint Multi-Group Correlation Test, alpha =</t>
  </si>
  <si>
    <t>zr trans.</t>
  </si>
  <si>
    <t>nj-3</t>
  </si>
  <si>
    <t>(nj-3)*zr^2</t>
  </si>
  <si>
    <t>(nj-3)*zr</t>
  </si>
  <si>
    <t>Sums</t>
  </si>
  <si>
    <t>Chi-Sq Clac</t>
  </si>
  <si>
    <t>Chi-Sq Crit</t>
  </si>
  <si>
    <t xml:space="preserve">Conclusion </t>
  </si>
  <si>
    <t>Low Density LN</t>
  </si>
  <si>
    <t>Mid Density LN</t>
  </si>
  <si>
    <t>High Density LN</t>
  </si>
  <si>
    <t>Log Correlation</t>
  </si>
  <si>
    <t>Frequency Percentage Distribution</t>
  </si>
  <si>
    <t>Reject</t>
  </si>
  <si>
    <t>F.T.R.</t>
  </si>
  <si>
    <t>F.T.R</t>
  </si>
  <si>
    <t>Anova: Single Factor</t>
  </si>
  <si>
    <t>SUMMARY</t>
  </si>
  <si>
    <t>Groups</t>
  </si>
  <si>
    <t>Sum</t>
  </si>
  <si>
    <t>Average</t>
  </si>
  <si>
    <t>Source of Variation</t>
  </si>
  <si>
    <t>F crit</t>
  </si>
  <si>
    <t>Between Groups</t>
  </si>
  <si>
    <t>Within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</si>
</sst>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%"/>
    <numFmt numFmtId="166" formatCode="0.000"/>
    <numFmt numFmtId="167" formatCode="0.0000000"/>
    <numFmt numFmtId="168" formatCode="0.000E+00"/>
  </numFmts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quotePrefix="1"/>
    <xf numFmtId="0" fontId="0" fillId="0" borderId="0" xfId="0" applyAlignment="1">
      <alignment vertical="top"/>
    </xf>
    <xf numFmtId="0" fontId="0" fillId="2" borderId="0" xfId="0" applyFill="1"/>
    <xf numFmtId="0" fontId="0" fillId="2" borderId="0" xfId="0" applyFill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1" applyNumberFormat="1" applyFont="1"/>
    <xf numFmtId="0" fontId="0" fillId="3" borderId="0" xfId="0" applyFill="1"/>
    <xf numFmtId="166" fontId="0" fillId="3" borderId="0" xfId="0" applyNumberFormat="1" applyFill="1"/>
    <xf numFmtId="2" fontId="0" fillId="3" borderId="0" xfId="0" applyNumberFormat="1" applyFill="1"/>
    <xf numFmtId="0" fontId="0" fillId="0" borderId="3" xfId="0" applyBorder="1"/>
    <xf numFmtId="0" fontId="0" fillId="3" borderId="3" xfId="0" applyFill="1" applyBorder="1"/>
    <xf numFmtId="166" fontId="0" fillId="3" borderId="3" xfId="0" applyNumberFormat="1" applyFill="1" applyBorder="1"/>
    <xf numFmtId="0" fontId="0" fillId="0" borderId="4" xfId="0" applyBorder="1"/>
    <xf numFmtId="0" fontId="0" fillId="0" borderId="5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3" xfId="0" applyFill="1" applyBorder="1"/>
    <xf numFmtId="0" fontId="0" fillId="6" borderId="3" xfId="0" applyFill="1" applyBorder="1" applyAlignment="1">
      <alignment wrapText="1"/>
    </xf>
    <xf numFmtId="167" fontId="0" fillId="3" borderId="0" xfId="0" applyNumberFormat="1" applyFill="1"/>
    <xf numFmtId="164" fontId="0" fillId="3" borderId="0" xfId="0" applyNumberFormat="1" applyFill="1"/>
    <xf numFmtId="168" fontId="0" fillId="3" borderId="0" xfId="0" applyNumberFormat="1" applyFill="1"/>
    <xf numFmtId="11" fontId="0" fillId="3" borderId="0" xfId="0" applyNumberFormat="1" applyFill="1"/>
    <xf numFmtId="167" fontId="0" fillId="0" borderId="0" xfId="0" applyNumberFormat="1"/>
    <xf numFmtId="166" fontId="0" fillId="5" borderId="0" xfId="0" applyNumberFormat="1" applyFill="1"/>
    <xf numFmtId="166" fontId="0" fillId="4" borderId="0" xfId="0" applyNumberFormat="1" applyFill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  <color rgb="FF00CC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9.xml"/><Relationship Id="rId18" Type="http://schemas.openxmlformats.org/officeDocument/2006/relationships/worksheet" Target="worksheets/sheet1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7.xml"/><Relationship Id="rId7" Type="http://schemas.openxmlformats.org/officeDocument/2006/relationships/chartsheet" Target="chartsheets/sheet1.xml"/><Relationship Id="rId12" Type="http://schemas.openxmlformats.org/officeDocument/2006/relationships/chartsheet" Target="chartsheets/sheet4.xml"/><Relationship Id="rId17" Type="http://schemas.openxmlformats.org/officeDocument/2006/relationships/worksheet" Target="worksheets/sheet12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1.xml"/><Relationship Id="rId20" Type="http://schemas.openxmlformats.org/officeDocument/2006/relationships/chartsheet" Target="chartsheets/sheet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3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5.xml"/><Relationship Id="rId23" Type="http://schemas.openxmlformats.org/officeDocument/2006/relationships/styles" Target="styles.xml"/><Relationship Id="rId10" Type="http://schemas.openxmlformats.org/officeDocument/2006/relationships/chartsheet" Target="chartsheets/sheet2.xml"/><Relationship Id="rId19" Type="http://schemas.openxmlformats.org/officeDocument/2006/relationships/worksheet" Target="worksheets/sheet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between the Level of Waste per Capita and the Level of Income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'Descriptive Statistics'!$F$5:$F$8</c:f>
              <c:strCache>
                <c:ptCount val="4"/>
                <c:pt idx="0">
                  <c:v>Overall</c:v>
                </c:pt>
                <c:pt idx="1">
                  <c:v>Low Den</c:v>
                </c:pt>
                <c:pt idx="2">
                  <c:v>Mid Den</c:v>
                </c:pt>
                <c:pt idx="3">
                  <c:v>High Den</c:v>
                </c:pt>
              </c:strCache>
            </c:strRef>
          </c:cat>
          <c:val>
            <c:numRef>
              <c:f>'Descriptive Statistics'!$N$5:$N$8</c:f>
              <c:numCache>
                <c:formatCode>0.0000</c:formatCode>
                <c:ptCount val="4"/>
                <c:pt idx="0">
                  <c:v>0.27196674343146315</c:v>
                </c:pt>
                <c:pt idx="1">
                  <c:v>-5.1808975537027006E-2</c:v>
                </c:pt>
                <c:pt idx="2">
                  <c:v>0.70296703434752261</c:v>
                </c:pt>
                <c:pt idx="3">
                  <c:v>0.33889691099385411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1-4806-98E1-44E6CB3A5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5580624"/>
        <c:axId val="675568144"/>
      </c:barChart>
      <c:catAx>
        <c:axId val="6755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568144"/>
        <c:crosses val="autoZero"/>
        <c:auto val="1"/>
        <c:lblAlgn val="ctr"/>
        <c:lblOffset val="100"/>
        <c:noMultiLvlLbl val="0"/>
      </c:catAx>
      <c:valAx>
        <c:axId val="67556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58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'Descriptive Statistics'!$F$11</c:f>
          <c:strCache>
            <c:ptCount val="1"/>
            <c:pt idx="0">
              <c:v>Confidence Intervals for the Mean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'Descriptive Statistics'!$G$12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'Descriptive Statistics'!$F$13:$F$16</c:f>
              <c:strCache>
                <c:ptCount val="4"/>
                <c:pt idx="0">
                  <c:v>Overall</c:v>
                </c:pt>
                <c:pt idx="1">
                  <c:v>Low Den</c:v>
                </c:pt>
                <c:pt idx="2">
                  <c:v>Mid Den</c:v>
                </c:pt>
                <c:pt idx="3">
                  <c:v>High Den</c:v>
                </c:pt>
              </c:strCache>
            </c:strRef>
          </c:cat>
          <c:val>
            <c:numRef>
              <c:f>'Descriptive Statistics'!$G$13:$G$16</c:f>
              <c:numCache>
                <c:formatCode>0.0000</c:formatCode>
                <c:ptCount val="4"/>
                <c:pt idx="0">
                  <c:v>0.83031657060942055</c:v>
                </c:pt>
                <c:pt idx="1">
                  <c:v>0.93706694582882122</c:v>
                </c:pt>
                <c:pt idx="2">
                  <c:v>0.78892807335113657</c:v>
                </c:pt>
                <c:pt idx="3">
                  <c:v>0.76890841024902179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2-43FB-828C-AE53BE3B2EB2}"/>
            </c:ext>
          </c:extLst>
        </c:ser>
        <c:ser>
          <c:idx val="1"/>
          <c:order val="1"/>
          <c:tx>
            <c:strRef>
              <c:f>'Descriptive Statistics'!$H$12</c:f>
              <c:strCache>
                <c:ptCount val="1"/>
                <c:pt idx="0">
                  <c:v>LCL-90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'Descriptive Statistics'!$F$13:$F$16</c:f>
              <c:strCache>
                <c:ptCount val="4"/>
                <c:pt idx="0">
                  <c:v>Overall</c:v>
                </c:pt>
                <c:pt idx="1">
                  <c:v>Low Den</c:v>
                </c:pt>
                <c:pt idx="2">
                  <c:v>Mid Den</c:v>
                </c:pt>
                <c:pt idx="3">
                  <c:v>High Den</c:v>
                </c:pt>
              </c:strCache>
            </c:strRef>
          </c:cat>
          <c:val>
            <c:numRef>
              <c:f>'Descriptive Statistics'!$H$13:$H$16</c:f>
              <c:numCache>
                <c:formatCode>0.0000</c:formatCode>
                <c:ptCount val="4"/>
                <c:pt idx="0">
                  <c:v>0.80247471054433939</c:v>
                </c:pt>
                <c:pt idx="1">
                  <c:v>0.91505650617360901</c:v>
                </c:pt>
                <c:pt idx="2">
                  <c:v>0.73071519233791782</c:v>
                </c:pt>
                <c:pt idx="3">
                  <c:v>0.72826986224084667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2-43FB-828C-AE53BE3B2EB2}"/>
            </c:ext>
          </c:extLst>
        </c:ser>
        <c:ser>
          <c:idx val="2"/>
          <c:order val="2"/>
          <c:tx>
            <c:strRef>
              <c:f>'Descriptive Statistics'!$I$12</c:f>
              <c:strCache>
                <c:ptCount val="1"/>
                <c:pt idx="0">
                  <c:v>LCL-95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'Descriptive Statistics'!$F$13:$F$16</c:f>
              <c:strCache>
                <c:ptCount val="4"/>
                <c:pt idx="0">
                  <c:v>Overall</c:v>
                </c:pt>
                <c:pt idx="1">
                  <c:v>Low Den</c:v>
                </c:pt>
                <c:pt idx="2">
                  <c:v>Mid Den</c:v>
                </c:pt>
                <c:pt idx="3">
                  <c:v>High Den</c:v>
                </c:pt>
              </c:strCache>
            </c:strRef>
          </c:cat>
          <c:val>
            <c:numRef>
              <c:f>'Descriptive Statistics'!$I$13:$I$16</c:f>
              <c:numCache>
                <c:formatCode>0.0000</c:formatCode>
                <c:ptCount val="4"/>
                <c:pt idx="0">
                  <c:v>0.79702001437472259</c:v>
                </c:pt>
                <c:pt idx="1">
                  <c:v>0.9105285304585703</c:v>
                </c:pt>
                <c:pt idx="2">
                  <c:v>0.71877268318745069</c:v>
                </c:pt>
                <c:pt idx="3">
                  <c:v>0.71993276874878742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42-43FB-828C-AE53BE3B2EB2}"/>
            </c:ext>
          </c:extLst>
        </c:ser>
        <c:ser>
          <c:idx val="3"/>
          <c:order val="3"/>
          <c:tx>
            <c:strRef>
              <c:f>'Descriptive Statistics'!$J$12</c:f>
              <c:strCache>
                <c:ptCount val="1"/>
                <c:pt idx="0">
                  <c:v>LCL-99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'Descriptive Statistics'!$F$13:$F$16</c:f>
              <c:strCache>
                <c:ptCount val="4"/>
                <c:pt idx="0">
                  <c:v>Overall</c:v>
                </c:pt>
                <c:pt idx="1">
                  <c:v>Low Den</c:v>
                </c:pt>
                <c:pt idx="2">
                  <c:v>Mid Den</c:v>
                </c:pt>
                <c:pt idx="3">
                  <c:v>High Den</c:v>
                </c:pt>
              </c:strCache>
            </c:strRef>
          </c:cat>
          <c:val>
            <c:numRef>
              <c:f>'Descriptive Statistics'!$J$13:$J$16</c:f>
              <c:numCache>
                <c:formatCode>0.0000</c:formatCode>
                <c:ptCount val="4"/>
                <c:pt idx="0">
                  <c:v>0.78616253258925806</c:v>
                </c:pt>
                <c:pt idx="1">
                  <c:v>0.90114912853796247</c:v>
                </c:pt>
                <c:pt idx="2">
                  <c:v>0.69409031594691517</c:v>
                </c:pt>
                <c:pt idx="3">
                  <c:v>0.70270195061023588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42-43FB-828C-AE53BE3B2EB2}"/>
            </c:ext>
          </c:extLst>
        </c:ser>
        <c:ser>
          <c:idx val="4"/>
          <c:order val="4"/>
          <c:tx>
            <c:strRef>
              <c:f>'Descriptive Statistics'!$K$12</c:f>
              <c:strCache>
                <c:ptCount val="1"/>
                <c:pt idx="0">
                  <c:v>UCL-90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'Descriptive Statistics'!$F$13:$F$16</c:f>
              <c:strCache>
                <c:ptCount val="4"/>
                <c:pt idx="0">
                  <c:v>Overall</c:v>
                </c:pt>
                <c:pt idx="1">
                  <c:v>Low Den</c:v>
                </c:pt>
                <c:pt idx="2">
                  <c:v>Mid Den</c:v>
                </c:pt>
                <c:pt idx="3">
                  <c:v>High Den</c:v>
                </c:pt>
              </c:strCache>
            </c:strRef>
          </c:cat>
          <c:val>
            <c:numRef>
              <c:f>'Descriptive Statistics'!$K$13:$K$16</c:f>
              <c:numCache>
                <c:formatCode>0.0000</c:formatCode>
                <c:ptCount val="4"/>
                <c:pt idx="0">
                  <c:v>0.8581584306745017</c:v>
                </c:pt>
                <c:pt idx="1">
                  <c:v>0.95907738548403343</c:v>
                </c:pt>
                <c:pt idx="2">
                  <c:v>0.84714095436435533</c:v>
                </c:pt>
                <c:pt idx="3">
                  <c:v>0.80954695825719691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42-43FB-828C-AE53BE3B2EB2}"/>
            </c:ext>
          </c:extLst>
        </c:ser>
        <c:ser>
          <c:idx val="5"/>
          <c:order val="5"/>
          <c:tx>
            <c:strRef>
              <c:f>'Descriptive Statistics'!$L$12</c:f>
              <c:strCache>
                <c:ptCount val="1"/>
                <c:pt idx="0">
                  <c:v>UCL-95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'Descriptive Statistics'!$F$13:$F$16</c:f>
              <c:strCache>
                <c:ptCount val="4"/>
                <c:pt idx="0">
                  <c:v>Overall</c:v>
                </c:pt>
                <c:pt idx="1">
                  <c:v>Low Den</c:v>
                </c:pt>
                <c:pt idx="2">
                  <c:v>Mid Den</c:v>
                </c:pt>
                <c:pt idx="3">
                  <c:v>High Den</c:v>
                </c:pt>
              </c:strCache>
            </c:strRef>
          </c:cat>
          <c:val>
            <c:numRef>
              <c:f>'Descriptive Statistics'!$L$13:$L$16</c:f>
              <c:numCache>
                <c:formatCode>0.0000</c:formatCode>
                <c:ptCount val="4"/>
                <c:pt idx="0">
                  <c:v>0.86361312684411851</c:v>
                </c:pt>
                <c:pt idx="1">
                  <c:v>0.96360536119907214</c:v>
                </c:pt>
                <c:pt idx="2">
                  <c:v>0.85908346351482245</c:v>
                </c:pt>
                <c:pt idx="3">
                  <c:v>0.81788405174925616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42-43FB-828C-AE53BE3B2EB2}"/>
            </c:ext>
          </c:extLst>
        </c:ser>
        <c:ser>
          <c:idx val="6"/>
          <c:order val="6"/>
          <c:tx>
            <c:strRef>
              <c:f>'Descriptive Statistics'!$M$12</c:f>
              <c:strCache>
                <c:ptCount val="1"/>
                <c:pt idx="0">
                  <c:v>UCL-99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'Descriptive Statistics'!$F$13:$F$16</c:f>
              <c:strCache>
                <c:ptCount val="4"/>
                <c:pt idx="0">
                  <c:v>Overall</c:v>
                </c:pt>
                <c:pt idx="1">
                  <c:v>Low Den</c:v>
                </c:pt>
                <c:pt idx="2">
                  <c:v>Mid Den</c:v>
                </c:pt>
                <c:pt idx="3">
                  <c:v>High Den</c:v>
                </c:pt>
              </c:strCache>
            </c:strRef>
          </c:cat>
          <c:val>
            <c:numRef>
              <c:f>'Descriptive Statistics'!$M$13:$M$16</c:f>
              <c:numCache>
                <c:formatCode>0.0000</c:formatCode>
                <c:ptCount val="4"/>
                <c:pt idx="0">
                  <c:v>0.87447060862958303</c:v>
                </c:pt>
                <c:pt idx="1">
                  <c:v>0.97298476311967996</c:v>
                </c:pt>
                <c:pt idx="2">
                  <c:v>0.88376583075535797</c:v>
                </c:pt>
                <c:pt idx="3">
                  <c:v>0.8351148698878077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42-43FB-828C-AE53BE3B2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700256"/>
        <c:axId val="1798203760"/>
      </c:lineChart>
      <c:catAx>
        <c:axId val="164970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203760"/>
        <c:crosses val="autoZero"/>
        <c:auto val="1"/>
        <c:lblAlgn val="ctr"/>
        <c:lblOffset val="100"/>
        <c:noMultiLvlLbl val="0"/>
      </c:catAx>
      <c:valAx>
        <c:axId val="1798203760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70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369373359580054"/>
          <c:y val="0.849274846947494"/>
          <c:w val="0.67761242344706907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'Descriptive Statistics'!$F$34</c:f>
          <c:strCache>
            <c:ptCount val="1"/>
            <c:pt idx="0">
              <c:v>Confidence Intervals for the Variance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'Descriptive Statistics'!$G$36</c:f>
              <c:strCache>
                <c:ptCount val="1"/>
                <c:pt idx="0">
                  <c:v>Sample Variance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'Descriptive Statistics'!$F$37:$F$40</c:f>
              <c:strCache>
                <c:ptCount val="4"/>
                <c:pt idx="0">
                  <c:v>Overall</c:v>
                </c:pt>
                <c:pt idx="1">
                  <c:v>Low Den</c:v>
                </c:pt>
                <c:pt idx="2">
                  <c:v>Mid Den</c:v>
                </c:pt>
                <c:pt idx="3">
                  <c:v>High Den</c:v>
                </c:pt>
              </c:strCache>
            </c:strRef>
          </c:cat>
          <c:val>
            <c:numRef>
              <c:f>'Descriptive Statistics'!$G$37:$G$40</c:f>
              <c:numCache>
                <c:formatCode>0.0000</c:formatCode>
                <c:ptCount val="4"/>
                <c:pt idx="0">
                  <c:v>2.2386489001994189E-2</c:v>
                </c:pt>
                <c:pt idx="1">
                  <c:v>4.3170141333498772E-3</c:v>
                </c:pt>
                <c:pt idx="2">
                  <c:v>3.145128910395064E-2</c:v>
                </c:pt>
                <c:pt idx="3">
                  <c:v>1.5327687190098966E-2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2F-4BB6-9F10-0F5EE0B9EDE4}"/>
            </c:ext>
          </c:extLst>
        </c:ser>
        <c:ser>
          <c:idx val="1"/>
          <c:order val="1"/>
          <c:tx>
            <c:strRef>
              <c:f>'Descriptive Statistics'!$H$36</c:f>
              <c:strCache>
                <c:ptCount val="1"/>
                <c:pt idx="0">
                  <c:v>LCL-90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'Descriptive Statistics'!$F$37:$F$40</c:f>
              <c:strCache>
                <c:ptCount val="4"/>
                <c:pt idx="0">
                  <c:v>Overall</c:v>
                </c:pt>
                <c:pt idx="1">
                  <c:v>Low Den</c:v>
                </c:pt>
                <c:pt idx="2">
                  <c:v>Mid Den</c:v>
                </c:pt>
                <c:pt idx="3">
                  <c:v>High Den</c:v>
                </c:pt>
              </c:strCache>
            </c:strRef>
          </c:cat>
          <c:val>
            <c:numRef>
              <c:f>'Descriptive Statistics'!$H$37:$H$40</c:f>
              <c:numCache>
                <c:formatCode>0.0000</c:formatCode>
                <c:ptCount val="4"/>
                <c:pt idx="0">
                  <c:v>1.7553914417527506E-2</c:v>
                </c:pt>
                <c:pt idx="1">
                  <c:v>2.8663541282200142E-3</c:v>
                </c:pt>
                <c:pt idx="2">
                  <c:v>2.102946125141298E-2</c:v>
                </c:pt>
                <c:pt idx="3">
                  <c:v>1.0248642043657174E-2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2F-4BB6-9F10-0F5EE0B9EDE4}"/>
            </c:ext>
          </c:extLst>
        </c:ser>
        <c:ser>
          <c:idx val="2"/>
          <c:order val="2"/>
          <c:tx>
            <c:strRef>
              <c:f>'Descriptive Statistics'!$I$36</c:f>
              <c:strCache>
                <c:ptCount val="1"/>
                <c:pt idx="0">
                  <c:v>LCL-95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'Descriptive Statistics'!$F$37:$F$40</c:f>
              <c:strCache>
                <c:ptCount val="4"/>
                <c:pt idx="0">
                  <c:v>Overall</c:v>
                </c:pt>
                <c:pt idx="1">
                  <c:v>Low Den</c:v>
                </c:pt>
                <c:pt idx="2">
                  <c:v>Mid Den</c:v>
                </c:pt>
                <c:pt idx="3">
                  <c:v>High Den</c:v>
                </c:pt>
              </c:strCache>
            </c:strRef>
          </c:cat>
          <c:val>
            <c:numRef>
              <c:f>'Descriptive Statistics'!$I$37:$I$40</c:f>
              <c:numCache>
                <c:formatCode>0.0000</c:formatCode>
                <c:ptCount val="4"/>
                <c:pt idx="0">
                  <c:v>1.6767673459264516E-2</c:v>
                </c:pt>
                <c:pt idx="1">
                  <c:v>2.6552208757515865E-3</c:v>
                </c:pt>
                <c:pt idx="2">
                  <c:v>1.9505526772505107E-2</c:v>
                </c:pt>
                <c:pt idx="3">
                  <c:v>9.505957350711719E-3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2F-4BB6-9F10-0F5EE0B9EDE4}"/>
            </c:ext>
          </c:extLst>
        </c:ser>
        <c:ser>
          <c:idx val="3"/>
          <c:order val="3"/>
          <c:tx>
            <c:strRef>
              <c:f>'Descriptive Statistics'!$J$36</c:f>
              <c:strCache>
                <c:ptCount val="1"/>
                <c:pt idx="0">
                  <c:v>LCL-99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'Descriptive Statistics'!$F$37:$F$40</c:f>
              <c:strCache>
                <c:ptCount val="4"/>
                <c:pt idx="0">
                  <c:v>Overall</c:v>
                </c:pt>
                <c:pt idx="1">
                  <c:v>Low Den</c:v>
                </c:pt>
                <c:pt idx="2">
                  <c:v>Mid Den</c:v>
                </c:pt>
                <c:pt idx="3">
                  <c:v>High Den</c:v>
                </c:pt>
              </c:strCache>
            </c:strRef>
          </c:cat>
          <c:val>
            <c:numRef>
              <c:f>'Descriptive Statistics'!$J$37:$J$40</c:f>
              <c:numCache>
                <c:formatCode>0.0000</c:formatCode>
                <c:ptCount val="4"/>
                <c:pt idx="0">
                  <c:v>1.5362965944845946E-2</c:v>
                </c:pt>
                <c:pt idx="1">
                  <c:v>2.2998126053737178E-3</c:v>
                </c:pt>
                <c:pt idx="2">
                  <c:v>1.6933847779394932E-2</c:v>
                </c:pt>
                <c:pt idx="3">
                  <c:v>8.2526576519470641E-3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2F-4BB6-9F10-0F5EE0B9EDE4}"/>
            </c:ext>
          </c:extLst>
        </c:ser>
        <c:ser>
          <c:idx val="4"/>
          <c:order val="4"/>
          <c:tx>
            <c:strRef>
              <c:f>'Descriptive Statistics'!$K$36</c:f>
              <c:strCache>
                <c:ptCount val="1"/>
                <c:pt idx="0">
                  <c:v>UCL-90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'Descriptive Statistics'!$F$37:$F$40</c:f>
              <c:strCache>
                <c:ptCount val="4"/>
                <c:pt idx="0">
                  <c:v>Overall</c:v>
                </c:pt>
                <c:pt idx="1">
                  <c:v>Low Den</c:v>
                </c:pt>
                <c:pt idx="2">
                  <c:v>Mid Den</c:v>
                </c:pt>
                <c:pt idx="3">
                  <c:v>High Den</c:v>
                </c:pt>
              </c:strCache>
            </c:strRef>
          </c:cat>
          <c:val>
            <c:numRef>
              <c:f>'Descriptive Statistics'!$K$37:$K$40</c:f>
              <c:numCache>
                <c:formatCode>0.0000</c:formatCode>
                <c:ptCount val="4"/>
                <c:pt idx="0">
                  <c:v>2.971210475355815E-2</c:v>
                </c:pt>
                <c:pt idx="1">
                  <c:v>7.3863761792606741E-3</c:v>
                </c:pt>
                <c:pt idx="2">
                  <c:v>5.3171545024303601E-2</c:v>
                </c:pt>
                <c:pt idx="3">
                  <c:v>2.5912985851012888E-2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4E-EC4F-A05F-B68B81472346}"/>
            </c:ext>
          </c:extLst>
        </c:ser>
        <c:ser>
          <c:idx val="5"/>
          <c:order val="5"/>
          <c:tx>
            <c:strRef>
              <c:f>'Descriptive Statistics'!$L$36</c:f>
              <c:strCache>
                <c:ptCount val="1"/>
                <c:pt idx="0">
                  <c:v>UCL-95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'Descriptive Statistics'!$F$37:$F$40</c:f>
              <c:strCache>
                <c:ptCount val="4"/>
                <c:pt idx="0">
                  <c:v>Overall</c:v>
                </c:pt>
                <c:pt idx="1">
                  <c:v>Low Den</c:v>
                </c:pt>
                <c:pt idx="2">
                  <c:v>Mid Den</c:v>
                </c:pt>
                <c:pt idx="3">
                  <c:v>High Den</c:v>
                </c:pt>
              </c:strCache>
            </c:strRef>
          </c:cat>
          <c:val>
            <c:numRef>
              <c:f>'Descriptive Statistics'!$L$37:$L$40</c:f>
              <c:numCache>
                <c:formatCode>0.0000</c:formatCode>
                <c:ptCount val="4"/>
                <c:pt idx="0">
                  <c:v>3.1407691184976848E-2</c:v>
                </c:pt>
                <c:pt idx="1">
                  <c:v>8.2261933279524184E-3</c:v>
                </c:pt>
                <c:pt idx="2">
                  <c:v>5.9068125486666768E-2</c:v>
                </c:pt>
                <c:pt idx="3">
                  <c:v>2.8786665862017554E-2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4E-EC4F-A05F-B68B81472346}"/>
            </c:ext>
          </c:extLst>
        </c:ser>
        <c:ser>
          <c:idx val="6"/>
          <c:order val="6"/>
          <c:tx>
            <c:strRef>
              <c:f>'Descriptive Statistics'!$M$36</c:f>
              <c:strCache>
                <c:ptCount val="1"/>
                <c:pt idx="0">
                  <c:v>UCL-99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'Descriptive Statistics'!$F$37:$F$40</c:f>
              <c:strCache>
                <c:ptCount val="4"/>
                <c:pt idx="0">
                  <c:v>Overall</c:v>
                </c:pt>
                <c:pt idx="1">
                  <c:v>Low Den</c:v>
                </c:pt>
                <c:pt idx="2">
                  <c:v>Mid Den</c:v>
                </c:pt>
                <c:pt idx="3">
                  <c:v>High Den</c:v>
                </c:pt>
              </c:strCache>
            </c:strRef>
          </c:cat>
          <c:val>
            <c:numRef>
              <c:f>'Descriptive Statistics'!$M$37:$M$40</c:f>
              <c:numCache>
                <c:formatCode>0.0000</c:formatCode>
                <c:ptCount val="4"/>
                <c:pt idx="0">
                  <c:v>3.5106569710160511E-2</c:v>
                </c:pt>
                <c:pt idx="1">
                  <c:v>1.025940327535934E-2</c:v>
                </c:pt>
                <c:pt idx="2">
                  <c:v>7.3272053894754677E-2</c:v>
                </c:pt>
                <c:pt idx="3">
                  <c:v>3.5708905862742495E-2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4E-EC4F-A05F-B68B81472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236464"/>
        <c:axId val="1938231184"/>
      </c:lineChart>
      <c:catAx>
        <c:axId val="193823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231184"/>
        <c:crosses val="autoZero"/>
        <c:auto val="1"/>
        <c:lblAlgn val="ctr"/>
        <c:lblOffset val="100"/>
        <c:noMultiLvlLbl val="0"/>
      </c:catAx>
      <c:valAx>
        <c:axId val="193823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23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Descriptive Statistics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'Descriptive Statistics'!$F$5</c:f>
              <c:strCache>
                <c:ptCount val="1"/>
                <c:pt idx="0">
                  <c:v>Overall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'Descriptive Statistics'!$H$4:$L$4</c:f>
              <c:strCache>
                <c:ptCount val="5"/>
                <c:pt idx="0">
                  <c:v>Minimum</c:v>
                </c:pt>
                <c:pt idx="1">
                  <c:v>Mean</c:v>
                </c:pt>
                <c:pt idx="2">
                  <c:v>Median</c:v>
                </c:pt>
                <c:pt idx="3">
                  <c:v>Max</c:v>
                </c:pt>
                <c:pt idx="4">
                  <c:v>Std. Deviation</c:v>
                </c:pt>
              </c:strCache>
            </c:strRef>
          </c:cat>
          <c:val>
            <c:numRef>
              <c:f>'Descriptive Statistics'!$H$5:$L$5</c:f>
              <c:numCache>
                <c:formatCode>0.0000</c:formatCode>
                <c:ptCount val="5"/>
                <c:pt idx="0">
                  <c:v>0.44641571903652894</c:v>
                </c:pt>
                <c:pt idx="1">
                  <c:v>0.83031657060942055</c:v>
                </c:pt>
                <c:pt idx="2">
                  <c:v>0.84365437081094252</c:v>
                </c:pt>
                <c:pt idx="3">
                  <c:v>1.0991592151115199</c:v>
                </c:pt>
                <c:pt idx="4">
                  <c:v>0.14962115158624528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E-4F26-83DE-0FDF795FA5FA}"/>
            </c:ext>
          </c:extLst>
        </c:ser>
        <c:ser>
          <c:idx val="1"/>
          <c:order val="1"/>
          <c:tx>
            <c:strRef>
              <c:f>'Descriptive Statistics'!$F$6</c:f>
              <c:strCache>
                <c:ptCount val="1"/>
                <c:pt idx="0">
                  <c:v>Low Den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'Descriptive Statistics'!$H$4:$L$4</c:f>
              <c:strCache>
                <c:ptCount val="5"/>
                <c:pt idx="0">
                  <c:v>Minimum</c:v>
                </c:pt>
                <c:pt idx="1">
                  <c:v>Mean</c:v>
                </c:pt>
                <c:pt idx="2">
                  <c:v>Median</c:v>
                </c:pt>
                <c:pt idx="3">
                  <c:v>Max</c:v>
                </c:pt>
                <c:pt idx="4">
                  <c:v>Std. Deviation</c:v>
                </c:pt>
              </c:strCache>
            </c:strRef>
          </c:cat>
          <c:val>
            <c:numRef>
              <c:f>'Descriptive Statistics'!$H$6:$L$6</c:f>
              <c:numCache>
                <c:formatCode>0.0000</c:formatCode>
                <c:ptCount val="5"/>
                <c:pt idx="0">
                  <c:v>0.82456469336869687</c:v>
                </c:pt>
                <c:pt idx="1">
                  <c:v>0.93706694582882122</c:v>
                </c:pt>
                <c:pt idx="2">
                  <c:v>0.95148473805041789</c:v>
                </c:pt>
                <c:pt idx="3">
                  <c:v>1.045809441816695</c:v>
                </c:pt>
                <c:pt idx="4">
                  <c:v>6.5703988717199485E-2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E-4F26-83DE-0FDF795FA5FA}"/>
            </c:ext>
          </c:extLst>
        </c:ser>
        <c:ser>
          <c:idx val="2"/>
          <c:order val="2"/>
          <c:tx>
            <c:strRef>
              <c:f>'Descriptive Statistics'!$F$7</c:f>
              <c:strCache>
                <c:ptCount val="1"/>
                <c:pt idx="0">
                  <c:v>Mid Den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'Descriptive Statistics'!$H$4:$L$4</c:f>
              <c:strCache>
                <c:ptCount val="5"/>
                <c:pt idx="0">
                  <c:v>Minimum</c:v>
                </c:pt>
                <c:pt idx="1">
                  <c:v>Mean</c:v>
                </c:pt>
                <c:pt idx="2">
                  <c:v>Median</c:v>
                </c:pt>
                <c:pt idx="3">
                  <c:v>Max</c:v>
                </c:pt>
                <c:pt idx="4">
                  <c:v>Std. Deviation</c:v>
                </c:pt>
              </c:strCache>
            </c:strRef>
          </c:cat>
          <c:val>
            <c:numRef>
              <c:f>'Descriptive Statistics'!$H$7:$L$7</c:f>
              <c:numCache>
                <c:formatCode>0.0000</c:formatCode>
                <c:ptCount val="5"/>
                <c:pt idx="0">
                  <c:v>0.44641571903652894</c:v>
                </c:pt>
                <c:pt idx="1">
                  <c:v>0.78892807335113657</c:v>
                </c:pt>
                <c:pt idx="2">
                  <c:v>0.83068332578979531</c:v>
                </c:pt>
                <c:pt idx="3">
                  <c:v>1.0991592151115199</c:v>
                </c:pt>
                <c:pt idx="4">
                  <c:v>0.17734511299709005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E-4F26-83DE-0FDF795FA5FA}"/>
            </c:ext>
          </c:extLst>
        </c:ser>
        <c:ser>
          <c:idx val="3"/>
          <c:order val="3"/>
          <c:tx>
            <c:strRef>
              <c:f>'Descriptive Statistics'!$F$8</c:f>
              <c:strCache>
                <c:ptCount val="1"/>
                <c:pt idx="0">
                  <c:v>High Den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'Descriptive Statistics'!$H$4:$L$4</c:f>
              <c:strCache>
                <c:ptCount val="5"/>
                <c:pt idx="0">
                  <c:v>Minimum</c:v>
                </c:pt>
                <c:pt idx="1">
                  <c:v>Mean</c:v>
                </c:pt>
                <c:pt idx="2">
                  <c:v>Median</c:v>
                </c:pt>
                <c:pt idx="3">
                  <c:v>Max</c:v>
                </c:pt>
                <c:pt idx="4">
                  <c:v>Std. Deviation</c:v>
                </c:pt>
              </c:strCache>
            </c:strRef>
          </c:cat>
          <c:val>
            <c:numRef>
              <c:f>'Descriptive Statistics'!$H$8:$L$8</c:f>
              <c:numCache>
                <c:formatCode>0.0000</c:formatCode>
                <c:ptCount val="5"/>
                <c:pt idx="0">
                  <c:v>0.58570957531494905</c:v>
                </c:pt>
                <c:pt idx="1">
                  <c:v>0.76890841024902179</c:v>
                </c:pt>
                <c:pt idx="2">
                  <c:v>0.7518977910032798</c:v>
                </c:pt>
                <c:pt idx="3">
                  <c:v>0.99087827556597541</c:v>
                </c:pt>
                <c:pt idx="4">
                  <c:v>0.12380503701424658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E-4F26-83DE-0FDF795FA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8209520"/>
        <c:axId val="1798213840"/>
      </c:barChart>
      <c:catAx>
        <c:axId val="179820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213840"/>
        <c:crosses val="autoZero"/>
        <c:auto val="1"/>
        <c:lblAlgn val="ctr"/>
        <c:lblOffset val="100"/>
        <c:noMultiLvlLbl val="0"/>
      </c:catAx>
      <c:valAx>
        <c:axId val="179821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Municipal Solid Waste (Tons</a:t>
                </a:r>
                <a:r>
                  <a:rPr lang="en-US" baseline="0"/>
                  <a:t> per Person)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20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between Waste</a:t>
            </a:r>
            <a:r>
              <a:rPr lang="en-US" baseline="0"/>
              <a:t> per Capita and Income per Capita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'Descriptive Statistics'!$M$4</c:f>
              <c:strCache>
                <c:ptCount val="1"/>
                <c:pt idx="0">
                  <c:v>Correlation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'Descriptive Statistics'!$F$5:$F$8</c:f>
              <c:strCache>
                <c:ptCount val="4"/>
                <c:pt idx="0">
                  <c:v>Overall</c:v>
                </c:pt>
                <c:pt idx="1">
                  <c:v>Low Den</c:v>
                </c:pt>
                <c:pt idx="2">
                  <c:v>Mid Den</c:v>
                </c:pt>
                <c:pt idx="3">
                  <c:v>High Den</c:v>
                </c:pt>
              </c:strCache>
            </c:strRef>
          </c:cat>
          <c:val>
            <c:numRef>
              <c:f>'Descriptive Statistics'!$M$5:$M$8</c:f>
              <c:numCache>
                <c:formatCode>0.0000</c:formatCode>
                <c:ptCount val="4"/>
                <c:pt idx="0">
                  <c:v>0.25862071371166934</c:v>
                </c:pt>
                <c:pt idx="1">
                  <c:v>-9.8867247780191209E-3</c:v>
                </c:pt>
                <c:pt idx="2">
                  <c:v>0.63109802933699477</c:v>
                </c:pt>
                <c:pt idx="3">
                  <c:v>0.39862264169818379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3-458B-9503-0859BA43D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091408"/>
        <c:axId val="1798210960"/>
      </c:barChart>
      <c:catAx>
        <c:axId val="174609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210960"/>
        <c:crosses val="autoZero"/>
        <c:auto val="1"/>
        <c:lblAlgn val="ctr"/>
        <c:lblOffset val="100"/>
        <c:noMultiLvlLbl val="0"/>
      </c:catAx>
      <c:valAx>
        <c:axId val="17982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9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Pivot!$A$28</c:f>
          <c:strCache>
            <c:ptCount val="1"/>
            <c:pt idx="0">
              <c:v>Frequency Percentage Distribution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Pivot!$B$29</c:f>
              <c:strCache>
                <c:ptCount val="1"/>
                <c:pt idx="0">
                  <c:v>Overall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Pivot!$A$30:$A$38</c:f>
              <c:strCache>
                <c:ptCount val="9"/>
                <c:pt idx="0">
                  <c:v>0.44-0.515</c:v>
                </c:pt>
                <c:pt idx="1">
                  <c:v>0.515-0.59</c:v>
                </c:pt>
                <c:pt idx="2">
                  <c:v>0.59-0.665</c:v>
                </c:pt>
                <c:pt idx="3">
                  <c:v>0.665-0.74</c:v>
                </c:pt>
                <c:pt idx="4">
                  <c:v>0.74-0.815</c:v>
                </c:pt>
                <c:pt idx="5">
                  <c:v>0.815-0.89</c:v>
                </c:pt>
                <c:pt idx="6">
                  <c:v>0.89-0.965</c:v>
                </c:pt>
                <c:pt idx="7">
                  <c:v>0.965-1.04</c:v>
                </c:pt>
                <c:pt idx="8">
                  <c:v>1.04-1.115</c:v>
                </c:pt>
              </c:strCache>
            </c:strRef>
          </c:cat>
          <c:val>
            <c:numRef>
              <c:f>Pivot!$B$30:$B$38</c:f>
              <c:numCache>
                <c:formatCode>0.0%</c:formatCode>
                <c:ptCount val="9"/>
                <c:pt idx="0">
                  <c:v>3.7499999999999999E-2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0.23749999999999999</c:v>
                </c:pt>
                <c:pt idx="6">
                  <c:v>0.13750000000000001</c:v>
                </c:pt>
                <c:pt idx="7">
                  <c:v>0.27500000000000002</c:v>
                </c:pt>
                <c:pt idx="8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0-40AC-8C73-5A81B9B4BB64}"/>
            </c:ext>
          </c:extLst>
        </c:ser>
        <c:ser>
          <c:idx val="1"/>
          <c:order val="1"/>
          <c:tx>
            <c:strRef>
              <c:f>Pivot!$C$29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Pivot!$A$30:$A$38</c:f>
              <c:strCache>
                <c:ptCount val="9"/>
                <c:pt idx="0">
                  <c:v>0.44-0.515</c:v>
                </c:pt>
                <c:pt idx="1">
                  <c:v>0.515-0.59</c:v>
                </c:pt>
                <c:pt idx="2">
                  <c:v>0.59-0.665</c:v>
                </c:pt>
                <c:pt idx="3">
                  <c:v>0.665-0.74</c:v>
                </c:pt>
                <c:pt idx="4">
                  <c:v>0.74-0.815</c:v>
                </c:pt>
                <c:pt idx="5">
                  <c:v>0.815-0.89</c:v>
                </c:pt>
                <c:pt idx="6">
                  <c:v>0.89-0.965</c:v>
                </c:pt>
                <c:pt idx="7">
                  <c:v>0.965-1.04</c:v>
                </c:pt>
                <c:pt idx="8">
                  <c:v>1.04-1.115</c:v>
                </c:pt>
              </c:strCache>
            </c:strRef>
          </c:cat>
          <c:val>
            <c:numRef>
              <c:f>Pivot!$C$30:$C$38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0.14814814814814814</c:v>
                </c:pt>
                <c:pt idx="3">
                  <c:v>0.14814814814814814</c:v>
                </c:pt>
                <c:pt idx="4">
                  <c:v>0.22222222222222221</c:v>
                </c:pt>
                <c:pt idx="5">
                  <c:v>0.25925925925925924</c:v>
                </c:pt>
                <c:pt idx="6">
                  <c:v>3.7037037037037035E-2</c:v>
                </c:pt>
                <c:pt idx="7">
                  <c:v>0.18518518518518517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80-40AC-8C73-5A81B9B4BB64}"/>
            </c:ext>
          </c:extLst>
        </c:ser>
        <c:ser>
          <c:idx val="2"/>
          <c:order val="2"/>
          <c:tx>
            <c:strRef>
              <c:f>Pivot!$D$29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Pivot!$A$30:$A$38</c:f>
              <c:strCache>
                <c:ptCount val="9"/>
                <c:pt idx="0">
                  <c:v>0.44-0.515</c:v>
                </c:pt>
                <c:pt idx="1">
                  <c:v>0.515-0.59</c:v>
                </c:pt>
                <c:pt idx="2">
                  <c:v>0.59-0.665</c:v>
                </c:pt>
                <c:pt idx="3">
                  <c:v>0.665-0.74</c:v>
                </c:pt>
                <c:pt idx="4">
                  <c:v>0.74-0.815</c:v>
                </c:pt>
                <c:pt idx="5">
                  <c:v>0.815-0.89</c:v>
                </c:pt>
                <c:pt idx="6">
                  <c:v>0.89-0.965</c:v>
                </c:pt>
                <c:pt idx="7">
                  <c:v>0.965-1.04</c:v>
                </c:pt>
                <c:pt idx="8">
                  <c:v>1.04-1.115</c:v>
                </c:pt>
              </c:strCache>
            </c:strRef>
          </c:cat>
          <c:val>
            <c:numRef>
              <c:f>Pivot!$D$30:$D$38</c:f>
              <c:numCache>
                <c:formatCode>0.0%</c:formatCode>
                <c:ptCount val="9"/>
                <c:pt idx="0">
                  <c:v>0.11538461538461539</c:v>
                </c:pt>
                <c:pt idx="1">
                  <c:v>7.6923076923076927E-2</c:v>
                </c:pt>
                <c:pt idx="2">
                  <c:v>0</c:v>
                </c:pt>
                <c:pt idx="3">
                  <c:v>7.6923076923076927E-2</c:v>
                </c:pt>
                <c:pt idx="4">
                  <c:v>7.6923076923076927E-2</c:v>
                </c:pt>
                <c:pt idx="5">
                  <c:v>0.26923076923076922</c:v>
                </c:pt>
                <c:pt idx="6">
                  <c:v>0.23076923076923078</c:v>
                </c:pt>
                <c:pt idx="7">
                  <c:v>0.11538461538461539</c:v>
                </c:pt>
                <c:pt idx="8">
                  <c:v>3.8461538461538464E-2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80-40AC-8C73-5A81B9B4BB64}"/>
            </c:ext>
          </c:extLst>
        </c:ser>
        <c:ser>
          <c:idx val="3"/>
          <c:order val="3"/>
          <c:tx>
            <c:strRef>
              <c:f>Pivot!$E$29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Pivot!$A$30:$A$38</c:f>
              <c:strCache>
                <c:ptCount val="9"/>
                <c:pt idx="0">
                  <c:v>0.44-0.515</c:v>
                </c:pt>
                <c:pt idx="1">
                  <c:v>0.515-0.59</c:v>
                </c:pt>
                <c:pt idx="2">
                  <c:v>0.59-0.665</c:v>
                </c:pt>
                <c:pt idx="3">
                  <c:v>0.665-0.74</c:v>
                </c:pt>
                <c:pt idx="4">
                  <c:v>0.74-0.815</c:v>
                </c:pt>
                <c:pt idx="5">
                  <c:v>0.815-0.89</c:v>
                </c:pt>
                <c:pt idx="6">
                  <c:v>0.89-0.965</c:v>
                </c:pt>
                <c:pt idx="7">
                  <c:v>0.965-1.04</c:v>
                </c:pt>
                <c:pt idx="8">
                  <c:v>1.04-1.115</c:v>
                </c:pt>
              </c:strCache>
            </c:strRef>
          </c:cat>
          <c:val>
            <c:numRef>
              <c:f>Pivot!$E$30:$E$38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0.18518518518518517</c:v>
                </c:pt>
                <c:pt idx="6">
                  <c:v>0.14814814814814814</c:v>
                </c:pt>
                <c:pt idx="7">
                  <c:v>0.51851851851851849</c:v>
                </c:pt>
                <c:pt idx="8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80-40AC-8C73-5A81B9B4B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989376"/>
        <c:axId val="1884459408"/>
      </c:barChart>
      <c:catAx>
        <c:axId val="1797989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 per Capita (Tons</a:t>
                </a:r>
                <a:r>
                  <a:rPr lang="en-US" baseline="0"/>
                  <a:t> per Person)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459408"/>
        <c:crosses val="autoZero"/>
        <c:auto val="1"/>
        <c:lblAlgn val="ctr"/>
        <c:lblOffset val="100"/>
        <c:noMultiLvlLbl val="0"/>
      </c:catAx>
      <c:valAx>
        <c:axId val="188445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98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Correlation of Log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'Log Correlations'!$B$1</c:f>
              <c:strCache>
                <c:ptCount val="1"/>
                <c:pt idx="0">
                  <c:v>LN of WastePC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0489068754186758E-2"/>
                  <c:y val="4.3045199493470014E-2"/>
                </c:manualLayout>
              </c:layout>
              <c:numFmt formatCode="General" sourceLinked="0"/>
              <c:spPr>
                <a:noFill/>
                <a:ln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'Log Correlations'!$C$2:$C$81</c:f>
              <c:numCache>
                <c:formatCode>General</c:formatCode>
                <c:ptCount val="80"/>
                <c:pt idx="0">
                  <c:v>10.803020928320345</c:v>
                </c:pt>
                <c:pt idx="1">
                  <c:v>10.792009327455123</c:v>
                </c:pt>
                <c:pt idx="2">
                  <c:v>10.838554985409298</c:v>
                </c:pt>
                <c:pt idx="3">
                  <c:v>10.889742619496028</c:v>
                </c:pt>
                <c:pt idx="4">
                  <c:v>10.923865463734469</c:v>
                </c:pt>
                <c:pt idx="5">
                  <c:v>10.431121781231125</c:v>
                </c:pt>
                <c:pt idx="6">
                  <c:v>10.456398688106709</c:v>
                </c:pt>
                <c:pt idx="7">
                  <c:v>10.495076614319606</c:v>
                </c:pt>
                <c:pt idx="8">
                  <c:v>10.54939334424507</c:v>
                </c:pt>
                <c:pt idx="9">
                  <c:v>10.595683671964135</c:v>
                </c:pt>
                <c:pt idx="10">
                  <c:v>10.66386056105085</c:v>
                </c:pt>
                <c:pt idx="11">
                  <c:v>10.705240641446251</c:v>
                </c:pt>
                <c:pt idx="12">
                  <c:v>10.747614207447592</c:v>
                </c:pt>
                <c:pt idx="13">
                  <c:v>10.756128818017915</c:v>
                </c:pt>
                <c:pt idx="14">
                  <c:v>10.788113633724841</c:v>
                </c:pt>
                <c:pt idx="15">
                  <c:v>10.832062737660678</c:v>
                </c:pt>
                <c:pt idx="16">
                  <c:v>11.187478899834499</c:v>
                </c:pt>
                <c:pt idx="17">
                  <c:v>11.32229544956102</c:v>
                </c:pt>
                <c:pt idx="18">
                  <c:v>11.35002913239167</c:v>
                </c:pt>
                <c:pt idx="19">
                  <c:v>11.164870315735804</c:v>
                </c:pt>
                <c:pt idx="20">
                  <c:v>11.233871278228877</c:v>
                </c:pt>
                <c:pt idx="21">
                  <c:v>10.754816272453274</c:v>
                </c:pt>
                <c:pt idx="22">
                  <c:v>10.81879635482403</c:v>
                </c:pt>
                <c:pt idx="23">
                  <c:v>10.858401430252568</c:v>
                </c:pt>
                <c:pt idx="24">
                  <c:v>10.906522999257449</c:v>
                </c:pt>
                <c:pt idx="25">
                  <c:v>10.929420453628929</c:v>
                </c:pt>
                <c:pt idx="26">
                  <c:v>10.659101646152005</c:v>
                </c:pt>
                <c:pt idx="27">
                  <c:v>10.668195894321217</c:v>
                </c:pt>
                <c:pt idx="28">
                  <c:v>10.683575736375696</c:v>
                </c:pt>
                <c:pt idx="29">
                  <c:v>10.721349013435917</c:v>
                </c:pt>
                <c:pt idx="30">
                  <c:v>10.735705561464391</c:v>
                </c:pt>
                <c:pt idx="31">
                  <c:v>10.723156650302901</c:v>
                </c:pt>
                <c:pt idx="32">
                  <c:v>10.743081636589023</c:v>
                </c:pt>
                <c:pt idx="33">
                  <c:v>10.787718596468499</c:v>
                </c:pt>
                <c:pt idx="34">
                  <c:v>10.809601097493472</c:v>
                </c:pt>
                <c:pt idx="35">
                  <c:v>10.839147942124594</c:v>
                </c:pt>
                <c:pt idx="36">
                  <c:v>10.683525083304334</c:v>
                </c:pt>
                <c:pt idx="37">
                  <c:v>10.715625059229435</c:v>
                </c:pt>
                <c:pt idx="38">
                  <c:v>10.757389504093783</c:v>
                </c:pt>
                <c:pt idx="39">
                  <c:v>10.782668358022761</c:v>
                </c:pt>
                <c:pt idx="40">
                  <c:v>10.693564404653484</c:v>
                </c:pt>
                <c:pt idx="41">
                  <c:v>10.710309393650409</c:v>
                </c:pt>
                <c:pt idx="42">
                  <c:v>10.725830542281983</c:v>
                </c:pt>
                <c:pt idx="43">
                  <c:v>10.500283458473763</c:v>
                </c:pt>
                <c:pt idx="44">
                  <c:v>10.519468153992017</c:v>
                </c:pt>
                <c:pt idx="45">
                  <c:v>10.561166263543194</c:v>
                </c:pt>
                <c:pt idx="46">
                  <c:v>10.62230464154152</c:v>
                </c:pt>
                <c:pt idx="47">
                  <c:v>10.654530745801635</c:v>
                </c:pt>
                <c:pt idx="48">
                  <c:v>10.65102112136865</c:v>
                </c:pt>
                <c:pt idx="49">
                  <c:v>10.663201119648987</c:v>
                </c:pt>
                <c:pt idx="50">
                  <c:v>10.671549930205343</c:v>
                </c:pt>
                <c:pt idx="51">
                  <c:v>10.719333845411576</c:v>
                </c:pt>
                <c:pt idx="52">
                  <c:v>10.743293075366944</c:v>
                </c:pt>
                <c:pt idx="53">
                  <c:v>10.999569431762815</c:v>
                </c:pt>
                <c:pt idx="54">
                  <c:v>11.034882188043936</c:v>
                </c:pt>
                <c:pt idx="55">
                  <c:v>11.064170825632253</c:v>
                </c:pt>
                <c:pt idx="56">
                  <c:v>11.075168747443165</c:v>
                </c:pt>
                <c:pt idx="57">
                  <c:v>11.122147136137803</c:v>
                </c:pt>
                <c:pt idx="58">
                  <c:v>10.958768661308911</c:v>
                </c:pt>
                <c:pt idx="59">
                  <c:v>10.989405415106221</c:v>
                </c:pt>
                <c:pt idx="60">
                  <c:v>11.00908510737902</c:v>
                </c:pt>
                <c:pt idx="61">
                  <c:v>11.013128741822218</c:v>
                </c:pt>
                <c:pt idx="62">
                  <c:v>11.026212870450868</c:v>
                </c:pt>
                <c:pt idx="63">
                  <c:v>10.797658344006098</c:v>
                </c:pt>
                <c:pt idx="64">
                  <c:v>10.822577671775463</c:v>
                </c:pt>
                <c:pt idx="65">
                  <c:v>10.813816625326742</c:v>
                </c:pt>
                <c:pt idx="66">
                  <c:v>10.830877864379874</c:v>
                </c:pt>
                <c:pt idx="67">
                  <c:v>10.851973571122491</c:v>
                </c:pt>
                <c:pt idx="68">
                  <c:v>10.245746321546331</c:v>
                </c:pt>
                <c:pt idx="69">
                  <c:v>10.261183916617407</c:v>
                </c:pt>
                <c:pt idx="70">
                  <c:v>10.285605779332439</c:v>
                </c:pt>
                <c:pt idx="71">
                  <c:v>10.381782314436975</c:v>
                </c:pt>
                <c:pt idx="72">
                  <c:v>10.435938068988472</c:v>
                </c:pt>
                <c:pt idx="73">
                  <c:v>10.952613768694098</c:v>
                </c:pt>
                <c:pt idx="74">
                  <c:v>10.981807253412063</c:v>
                </c:pt>
                <c:pt idx="75">
                  <c:v>11.003720708904563</c:v>
                </c:pt>
                <c:pt idx="76">
                  <c:v>11.02133555261239</c:v>
                </c:pt>
                <c:pt idx="77">
                  <c:v>11.051445364002607</c:v>
                </c:pt>
                <c:pt idx="78">
                  <c:v>10.752304850782098</c:v>
                </c:pt>
                <c:pt idx="79">
                  <c:v>10.780533493833664</c:v>
                </c:pt>
              </c:numCache>
            </c:numRef>
          </c:xVal>
          <c:yVal>
            <c:numRef>
              <c:f>'Log Correlations'!$B$2:$B$81</c:f>
              <c:numCache>
                <c:formatCode>General</c:formatCode>
                <c:ptCount val="80"/>
                <c:pt idx="0">
                  <c:v>-3.9456810107772737E-2</c:v>
                </c:pt>
                <c:pt idx="1">
                  <c:v>-2.7260924012175006E-2</c:v>
                </c:pt>
                <c:pt idx="2">
                  <c:v>-0.19289967630232918</c:v>
                </c:pt>
                <c:pt idx="3">
                  <c:v>-0.18615000386046746</c:v>
                </c:pt>
                <c:pt idx="4">
                  <c:v>-0.17137105258078617</c:v>
                </c:pt>
                <c:pt idx="5">
                  <c:v>-5.047218406824084E-2</c:v>
                </c:pt>
                <c:pt idx="6">
                  <c:v>-8.2903530188178434E-2</c:v>
                </c:pt>
                <c:pt idx="7">
                  <c:v>-2.6841141408757114E-2</c:v>
                </c:pt>
                <c:pt idx="8">
                  <c:v>-3.0452657080439371E-2</c:v>
                </c:pt>
                <c:pt idx="9">
                  <c:v>3.2842788597757154E-2</c:v>
                </c:pt>
                <c:pt idx="10">
                  <c:v>-0.189977991149822</c:v>
                </c:pt>
                <c:pt idx="11">
                  <c:v>-8.6740133006935352E-2</c:v>
                </c:pt>
                <c:pt idx="12">
                  <c:v>-0.12821778654821933</c:v>
                </c:pt>
                <c:pt idx="13">
                  <c:v>-6.0184170904132098E-2</c:v>
                </c:pt>
                <c:pt idx="14">
                  <c:v>-1.3978471291922616E-2</c:v>
                </c:pt>
                <c:pt idx="15">
                  <c:v>-2.4259371111686481E-2</c:v>
                </c:pt>
                <c:pt idx="16">
                  <c:v>-7.1388400442681119E-2</c:v>
                </c:pt>
                <c:pt idx="17">
                  <c:v>-3.2055786057135334E-2</c:v>
                </c:pt>
                <c:pt idx="18">
                  <c:v>4.4791171050792958E-2</c:v>
                </c:pt>
                <c:pt idx="19">
                  <c:v>-9.9461668324383273E-2</c:v>
                </c:pt>
                <c:pt idx="20">
                  <c:v>-0.19284843238303825</c:v>
                </c:pt>
                <c:pt idx="21">
                  <c:v>-1.4732008326020356E-2</c:v>
                </c:pt>
                <c:pt idx="22">
                  <c:v>-6.1778559555647039E-2</c:v>
                </c:pt>
                <c:pt idx="23">
                  <c:v>-4.8991628459990388E-2</c:v>
                </c:pt>
                <c:pt idx="24">
                  <c:v>4.344108532819313E-2</c:v>
                </c:pt>
                <c:pt idx="25">
                  <c:v>-4.1527097733764527E-2</c:v>
                </c:pt>
                <c:pt idx="26">
                  <c:v>-9.4745411601229665E-2</c:v>
                </c:pt>
                <c:pt idx="27">
                  <c:v>9.4545537641385222E-2</c:v>
                </c:pt>
                <c:pt idx="28">
                  <c:v>-9.705908875692347E-2</c:v>
                </c:pt>
                <c:pt idx="29">
                  <c:v>-4.4330546305906713E-3</c:v>
                </c:pt>
                <c:pt idx="30">
                  <c:v>2.8973026660445871E-2</c:v>
                </c:pt>
                <c:pt idx="31">
                  <c:v>-0.29080714626269283</c:v>
                </c:pt>
                <c:pt idx="32">
                  <c:v>-6.0048215882650607E-2</c:v>
                </c:pt>
                <c:pt idx="33">
                  <c:v>-0.18550663281985263</c:v>
                </c:pt>
                <c:pt idx="34">
                  <c:v>-0.19989211798011622</c:v>
                </c:pt>
                <c:pt idx="35">
                  <c:v>-0.16105044509741739</c:v>
                </c:pt>
                <c:pt idx="36">
                  <c:v>-0.20676047025672803</c:v>
                </c:pt>
                <c:pt idx="37">
                  <c:v>-0.1603164174039014</c:v>
                </c:pt>
                <c:pt idx="38">
                  <c:v>-0.16598536886524848</c:v>
                </c:pt>
                <c:pt idx="39">
                  <c:v>-0.13741925389332968</c:v>
                </c:pt>
                <c:pt idx="40">
                  <c:v>-0.38718750818520281</c:v>
                </c:pt>
                <c:pt idx="41">
                  <c:v>-0.35837649426426438</c:v>
                </c:pt>
                <c:pt idx="42">
                  <c:v>-0.31581085290174082</c:v>
                </c:pt>
                <c:pt idx="43">
                  <c:v>-0.75296672129973929</c:v>
                </c:pt>
                <c:pt idx="44">
                  <c:v>-0.80650465563954521</c:v>
                </c:pt>
                <c:pt idx="45">
                  <c:v>-0.7616844760004593</c:v>
                </c:pt>
                <c:pt idx="46">
                  <c:v>-0.70565616676319343</c:v>
                </c:pt>
                <c:pt idx="47">
                  <c:v>-0.65885928197141197</c:v>
                </c:pt>
                <c:pt idx="48">
                  <c:v>-0.22853320161351207</c:v>
                </c:pt>
                <c:pt idx="49">
                  <c:v>-0.19260106330492074</c:v>
                </c:pt>
                <c:pt idx="50">
                  <c:v>-0.16865555393549056</c:v>
                </c:pt>
                <c:pt idx="51">
                  <c:v>-0.15718261191633004</c:v>
                </c:pt>
                <c:pt idx="52">
                  <c:v>-3.706022363638168E-2</c:v>
                </c:pt>
                <c:pt idx="53">
                  <c:v>-0.19463558122469915</c:v>
                </c:pt>
                <c:pt idx="54">
                  <c:v>-0.21485952462375704</c:v>
                </c:pt>
                <c:pt idx="55">
                  <c:v>-0.20789430564082045</c:v>
                </c:pt>
                <c:pt idx="56">
                  <c:v>-0.20221773798692272</c:v>
                </c:pt>
                <c:pt idx="57">
                  <c:v>-0.10930923236864613</c:v>
                </c:pt>
                <c:pt idx="58">
                  <c:v>-0.29580036282517685</c:v>
                </c:pt>
                <c:pt idx="59">
                  <c:v>-0.22024409386942756</c:v>
                </c:pt>
                <c:pt idx="60">
                  <c:v>-0.34463734444717137</c:v>
                </c:pt>
                <c:pt idx="61">
                  <c:v>-0.40916486394151513</c:v>
                </c:pt>
                <c:pt idx="62">
                  <c:v>-0.39055318806548306</c:v>
                </c:pt>
                <c:pt idx="63">
                  <c:v>-0.52302747782154346</c:v>
                </c:pt>
                <c:pt idx="64">
                  <c:v>-0.53493121752259831</c:v>
                </c:pt>
                <c:pt idx="65">
                  <c:v>-0.51203344117056337</c:v>
                </c:pt>
                <c:pt idx="66">
                  <c:v>-0.51684826582750776</c:v>
                </c:pt>
                <c:pt idx="67">
                  <c:v>-0.46151044700039912</c:v>
                </c:pt>
                <c:pt idx="68">
                  <c:v>-0.37153300206534612</c:v>
                </c:pt>
                <c:pt idx="69">
                  <c:v>-0.34919273830701236</c:v>
                </c:pt>
                <c:pt idx="70">
                  <c:v>-0.31868732520323001</c:v>
                </c:pt>
                <c:pt idx="71">
                  <c:v>-0.33291296702800793</c:v>
                </c:pt>
                <c:pt idx="72">
                  <c:v>-0.20063559413412119</c:v>
                </c:pt>
                <c:pt idx="73">
                  <c:v>-9.1635820995123619E-3</c:v>
                </c:pt>
                <c:pt idx="74">
                  <c:v>-5.1582396418015826E-2</c:v>
                </c:pt>
                <c:pt idx="75">
                  <c:v>-2.301844952468432E-2</c:v>
                </c:pt>
                <c:pt idx="76">
                  <c:v>-5.1093296597344587E-2</c:v>
                </c:pt>
                <c:pt idx="77">
                  <c:v>-5.8056421122370389E-2</c:v>
                </c:pt>
                <c:pt idx="78">
                  <c:v>-0.28515488048878634</c:v>
                </c:pt>
                <c:pt idx="79">
                  <c:v>-0.24283292764695669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B0-408C-BE10-6549BFCFB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386288"/>
        <c:axId val="1192393968"/>
      </c:scatterChart>
      <c:valAx>
        <c:axId val="119238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393968"/>
        <c:crosses val="autoZero"/>
        <c:crossBetween val="midCat"/>
      </c:valAx>
      <c:valAx>
        <c:axId val="119239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0"/>
                  <a:t> Level of Waste per Capita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38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Group</a:t>
            </a:r>
            <a:r>
              <a:rPr lang="en-US" baseline="0"/>
              <a:t> Correlation of Log Levels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'Group logs'!$M$1</c:f>
              <c:strCache>
                <c:ptCount val="1"/>
                <c:pt idx="0">
                  <c:v>Low Density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451580196054948E-3"/>
                  <c:y val="3.6609161370460719E-2"/>
                </c:manualLayout>
              </c:layout>
              <c:numFmt formatCode="General" sourceLinked="0"/>
              <c:spPr>
                <a:noFill/>
                <a:ln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'Group logs'!$N$3:$N$28</c:f>
              <c:numCache>
                <c:formatCode>General</c:formatCode>
                <c:ptCount val="26"/>
                <c:pt idx="0">
                  <c:v>10.803020928320345</c:v>
                </c:pt>
                <c:pt idx="1">
                  <c:v>10.792009327455123</c:v>
                </c:pt>
                <c:pt idx="2">
                  <c:v>10.838554985409298</c:v>
                </c:pt>
                <c:pt idx="3">
                  <c:v>10.889742619496028</c:v>
                </c:pt>
                <c:pt idx="4">
                  <c:v>10.923865463734469</c:v>
                </c:pt>
                <c:pt idx="5">
                  <c:v>10.431121781231125</c:v>
                </c:pt>
                <c:pt idx="6">
                  <c:v>10.456398688106709</c:v>
                </c:pt>
                <c:pt idx="7">
                  <c:v>10.495076614319606</c:v>
                </c:pt>
                <c:pt idx="8">
                  <c:v>10.54939334424507</c:v>
                </c:pt>
                <c:pt idx="9">
                  <c:v>10.595683671964135</c:v>
                </c:pt>
                <c:pt idx="10">
                  <c:v>10.66386056105085</c:v>
                </c:pt>
                <c:pt idx="11">
                  <c:v>10.705240641446251</c:v>
                </c:pt>
                <c:pt idx="12">
                  <c:v>10.747614207447592</c:v>
                </c:pt>
                <c:pt idx="13">
                  <c:v>10.756128818017915</c:v>
                </c:pt>
                <c:pt idx="14">
                  <c:v>10.788113633724841</c:v>
                </c:pt>
                <c:pt idx="15">
                  <c:v>10.832062737660678</c:v>
                </c:pt>
                <c:pt idx="16">
                  <c:v>11.187478899834499</c:v>
                </c:pt>
                <c:pt idx="17">
                  <c:v>11.32229544956102</c:v>
                </c:pt>
                <c:pt idx="18">
                  <c:v>11.35002913239167</c:v>
                </c:pt>
                <c:pt idx="19">
                  <c:v>11.164870315735804</c:v>
                </c:pt>
                <c:pt idx="20">
                  <c:v>11.233871278228877</c:v>
                </c:pt>
                <c:pt idx="21">
                  <c:v>10.754816272453274</c:v>
                </c:pt>
                <c:pt idx="22">
                  <c:v>10.81879635482403</c:v>
                </c:pt>
                <c:pt idx="23">
                  <c:v>10.858401430252568</c:v>
                </c:pt>
                <c:pt idx="24">
                  <c:v>10.906522999257449</c:v>
                </c:pt>
                <c:pt idx="25">
                  <c:v>10.929420453628929</c:v>
                </c:pt>
              </c:numCache>
            </c:numRef>
          </c:xVal>
          <c:yVal>
            <c:numRef>
              <c:f>'Group logs'!$M$3:$M$28</c:f>
              <c:numCache>
                <c:formatCode>General</c:formatCode>
                <c:ptCount val="26"/>
                <c:pt idx="0">
                  <c:v>-3.9456810107772737E-2</c:v>
                </c:pt>
                <c:pt idx="1">
                  <c:v>-2.7260924012175006E-2</c:v>
                </c:pt>
                <c:pt idx="2">
                  <c:v>-0.19289967630232918</c:v>
                </c:pt>
                <c:pt idx="3">
                  <c:v>-0.18615000386046746</c:v>
                </c:pt>
                <c:pt idx="4">
                  <c:v>-0.17137105258078617</c:v>
                </c:pt>
                <c:pt idx="5">
                  <c:v>-5.047218406824084E-2</c:v>
                </c:pt>
                <c:pt idx="6">
                  <c:v>-8.2903530188178434E-2</c:v>
                </c:pt>
                <c:pt idx="7">
                  <c:v>-2.6841141408757114E-2</c:v>
                </c:pt>
                <c:pt idx="8">
                  <c:v>-3.0452657080439371E-2</c:v>
                </c:pt>
                <c:pt idx="9">
                  <c:v>3.2842788597757154E-2</c:v>
                </c:pt>
                <c:pt idx="10">
                  <c:v>-0.189977991149822</c:v>
                </c:pt>
                <c:pt idx="11">
                  <c:v>-8.6740133006935352E-2</c:v>
                </c:pt>
                <c:pt idx="12">
                  <c:v>-0.12821778654821933</c:v>
                </c:pt>
                <c:pt idx="13">
                  <c:v>-6.0184170904132098E-2</c:v>
                </c:pt>
                <c:pt idx="14">
                  <c:v>-1.3978471291922616E-2</c:v>
                </c:pt>
                <c:pt idx="15">
                  <c:v>-2.4259371111686481E-2</c:v>
                </c:pt>
                <c:pt idx="16">
                  <c:v>-7.1388400442681119E-2</c:v>
                </c:pt>
                <c:pt idx="17">
                  <c:v>-3.2055786057135334E-2</c:v>
                </c:pt>
                <c:pt idx="18">
                  <c:v>4.4791171050792958E-2</c:v>
                </c:pt>
                <c:pt idx="19">
                  <c:v>-9.9461668324383273E-2</c:v>
                </c:pt>
                <c:pt idx="20">
                  <c:v>-0.19284843238303825</c:v>
                </c:pt>
                <c:pt idx="21">
                  <c:v>-1.4732008326020356E-2</c:v>
                </c:pt>
                <c:pt idx="22">
                  <c:v>-6.1778559555647039E-2</c:v>
                </c:pt>
                <c:pt idx="23">
                  <c:v>-4.8991628459990388E-2</c:v>
                </c:pt>
                <c:pt idx="24">
                  <c:v>4.344108532819313E-2</c:v>
                </c:pt>
                <c:pt idx="25">
                  <c:v>-4.1527097733764527E-2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F1-427C-B939-5FF515583EDD}"/>
            </c:ext>
          </c:extLst>
        </c:ser>
        <c:ser>
          <c:idx val="1"/>
          <c:order val="1"/>
          <c:tx>
            <c:strRef>
              <c:f>'Group logs'!$P$1</c:f>
              <c:strCache>
                <c:ptCount val="1"/>
                <c:pt idx="0">
                  <c:v>Mid Density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875100472944724"/>
                  <c:y val="-1.4589199727803004E-2"/>
                </c:manualLayout>
              </c:layout>
              <c:numFmt formatCode="General" sourceLinked="0"/>
              <c:spPr>
                <a:noFill/>
                <a:ln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'Group logs'!$Q$3:$Q$29</c:f>
              <c:numCache>
                <c:formatCode>General</c:formatCode>
                <c:ptCount val="27"/>
                <c:pt idx="0">
                  <c:v>10.659101646152005</c:v>
                </c:pt>
                <c:pt idx="1">
                  <c:v>10.668195894321217</c:v>
                </c:pt>
                <c:pt idx="2">
                  <c:v>10.683575736375696</c:v>
                </c:pt>
                <c:pt idx="3">
                  <c:v>10.721349013435917</c:v>
                </c:pt>
                <c:pt idx="4">
                  <c:v>10.735705561464391</c:v>
                </c:pt>
                <c:pt idx="5">
                  <c:v>10.723156650302901</c:v>
                </c:pt>
                <c:pt idx="6">
                  <c:v>10.743081636589023</c:v>
                </c:pt>
                <c:pt idx="7">
                  <c:v>10.787718596468499</c:v>
                </c:pt>
                <c:pt idx="8">
                  <c:v>10.809601097493472</c:v>
                </c:pt>
                <c:pt idx="9">
                  <c:v>10.839147942124594</c:v>
                </c:pt>
                <c:pt idx="10">
                  <c:v>10.683525083304334</c:v>
                </c:pt>
                <c:pt idx="11">
                  <c:v>10.715625059229435</c:v>
                </c:pt>
                <c:pt idx="12">
                  <c:v>10.757389504093783</c:v>
                </c:pt>
                <c:pt idx="13">
                  <c:v>10.782668358022761</c:v>
                </c:pt>
                <c:pt idx="14">
                  <c:v>10.693564404653484</c:v>
                </c:pt>
                <c:pt idx="15">
                  <c:v>10.710309393650409</c:v>
                </c:pt>
                <c:pt idx="16">
                  <c:v>10.725830542281983</c:v>
                </c:pt>
                <c:pt idx="17">
                  <c:v>10.500283458473763</c:v>
                </c:pt>
                <c:pt idx="18">
                  <c:v>10.519468153992017</c:v>
                </c:pt>
                <c:pt idx="19">
                  <c:v>10.561166263543194</c:v>
                </c:pt>
                <c:pt idx="20">
                  <c:v>10.62230464154152</c:v>
                </c:pt>
                <c:pt idx="21">
                  <c:v>10.654530745801635</c:v>
                </c:pt>
                <c:pt idx="22">
                  <c:v>10.65102112136865</c:v>
                </c:pt>
                <c:pt idx="23">
                  <c:v>10.663201119648987</c:v>
                </c:pt>
                <c:pt idx="24">
                  <c:v>10.671549930205343</c:v>
                </c:pt>
                <c:pt idx="25">
                  <c:v>10.719333845411576</c:v>
                </c:pt>
                <c:pt idx="26">
                  <c:v>10.743293075366944</c:v>
                </c:pt>
              </c:numCache>
            </c:numRef>
          </c:xVal>
          <c:yVal>
            <c:numRef>
              <c:f>'Group logs'!$P$3:$P$29</c:f>
              <c:numCache>
                <c:formatCode>General</c:formatCode>
                <c:ptCount val="27"/>
                <c:pt idx="0">
                  <c:v>-9.4745411601229665E-2</c:v>
                </c:pt>
                <c:pt idx="1">
                  <c:v>9.4545537641385222E-2</c:v>
                </c:pt>
                <c:pt idx="2">
                  <c:v>-9.705908875692347E-2</c:v>
                </c:pt>
                <c:pt idx="3">
                  <c:v>-4.4330546305906713E-3</c:v>
                </c:pt>
                <c:pt idx="4">
                  <c:v>2.8973026660445871E-2</c:v>
                </c:pt>
                <c:pt idx="5">
                  <c:v>-0.29080714626269283</c:v>
                </c:pt>
                <c:pt idx="6">
                  <c:v>-6.0048215882650607E-2</c:v>
                </c:pt>
                <c:pt idx="7">
                  <c:v>-0.18550663281985263</c:v>
                </c:pt>
                <c:pt idx="8">
                  <c:v>-0.19989211798011622</c:v>
                </c:pt>
                <c:pt idx="9">
                  <c:v>-0.16105044509741739</c:v>
                </c:pt>
                <c:pt idx="10">
                  <c:v>-0.20676047025672803</c:v>
                </c:pt>
                <c:pt idx="11">
                  <c:v>-0.1603164174039014</c:v>
                </c:pt>
                <c:pt idx="12">
                  <c:v>-0.16598536886524848</c:v>
                </c:pt>
                <c:pt idx="13">
                  <c:v>-0.13741925389332968</c:v>
                </c:pt>
                <c:pt idx="14">
                  <c:v>-0.38718750818520281</c:v>
                </c:pt>
                <c:pt idx="15">
                  <c:v>-0.35837649426426438</c:v>
                </c:pt>
                <c:pt idx="16">
                  <c:v>-0.31581085290174082</c:v>
                </c:pt>
                <c:pt idx="17">
                  <c:v>-0.75296672129973929</c:v>
                </c:pt>
                <c:pt idx="18">
                  <c:v>-0.80650465563954521</c:v>
                </c:pt>
                <c:pt idx="19">
                  <c:v>-0.7616844760004593</c:v>
                </c:pt>
                <c:pt idx="20">
                  <c:v>-0.70565616676319343</c:v>
                </c:pt>
                <c:pt idx="21">
                  <c:v>-0.65885928197141197</c:v>
                </c:pt>
                <c:pt idx="22">
                  <c:v>-0.22853320161351207</c:v>
                </c:pt>
                <c:pt idx="23">
                  <c:v>-0.19260106330492074</c:v>
                </c:pt>
                <c:pt idx="24">
                  <c:v>-0.16865555393549056</c:v>
                </c:pt>
                <c:pt idx="25">
                  <c:v>-0.15718261191633004</c:v>
                </c:pt>
                <c:pt idx="26">
                  <c:v>-3.706022363638168E-2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F1-427C-B939-5FF515583EDD}"/>
            </c:ext>
          </c:extLst>
        </c:ser>
        <c:ser>
          <c:idx val="2"/>
          <c:order val="2"/>
          <c:tx>
            <c:strRef>
              <c:f>'Group logs'!$S$1</c:f>
              <c:strCache>
                <c:ptCount val="1"/>
                <c:pt idx="0">
                  <c:v>High Density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28575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0415727737656475E-2"/>
                  <c:y val="3.4229423681805968E-2"/>
                </c:manualLayout>
              </c:layout>
              <c:numFmt formatCode="General" sourceLinked="0"/>
              <c:spPr>
                <a:noFill/>
                <a:ln w="12700">
                  <a:solidFill>
                    <a:schemeClr val="bg2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'Group logs'!$T$3:$T$29</c:f>
              <c:numCache>
                <c:formatCode>General</c:formatCode>
                <c:ptCount val="27"/>
                <c:pt idx="0">
                  <c:v>10.999569431762815</c:v>
                </c:pt>
                <c:pt idx="1">
                  <c:v>11.034882188043936</c:v>
                </c:pt>
                <c:pt idx="2">
                  <c:v>11.064170825632253</c:v>
                </c:pt>
                <c:pt idx="3">
                  <c:v>11.075168747443165</c:v>
                </c:pt>
                <c:pt idx="4">
                  <c:v>11.122147136137803</c:v>
                </c:pt>
                <c:pt idx="5">
                  <c:v>10.958768661308911</c:v>
                </c:pt>
                <c:pt idx="6">
                  <c:v>10.989405415106221</c:v>
                </c:pt>
                <c:pt idx="7">
                  <c:v>11.00908510737902</c:v>
                </c:pt>
                <c:pt idx="8">
                  <c:v>11.013128741822218</c:v>
                </c:pt>
                <c:pt idx="9">
                  <c:v>11.026212870450868</c:v>
                </c:pt>
                <c:pt idx="10">
                  <c:v>10.797658344006098</c:v>
                </c:pt>
                <c:pt idx="11">
                  <c:v>10.822577671775463</c:v>
                </c:pt>
                <c:pt idx="12">
                  <c:v>10.813816625326742</c:v>
                </c:pt>
                <c:pt idx="13">
                  <c:v>10.830877864379874</c:v>
                </c:pt>
                <c:pt idx="14">
                  <c:v>10.851973571122491</c:v>
                </c:pt>
                <c:pt idx="15">
                  <c:v>10.245746321546331</c:v>
                </c:pt>
                <c:pt idx="16">
                  <c:v>10.261183916617407</c:v>
                </c:pt>
                <c:pt idx="17">
                  <c:v>10.285605779332439</c:v>
                </c:pt>
                <c:pt idx="18">
                  <c:v>10.381782314436975</c:v>
                </c:pt>
                <c:pt idx="19">
                  <c:v>10.435938068988472</c:v>
                </c:pt>
                <c:pt idx="20">
                  <c:v>10.952613768694098</c:v>
                </c:pt>
                <c:pt idx="21">
                  <c:v>10.981807253412063</c:v>
                </c:pt>
                <c:pt idx="22">
                  <c:v>11.003720708904563</c:v>
                </c:pt>
                <c:pt idx="23">
                  <c:v>11.02133555261239</c:v>
                </c:pt>
                <c:pt idx="24">
                  <c:v>11.051445364002607</c:v>
                </c:pt>
                <c:pt idx="25">
                  <c:v>10.752304850782098</c:v>
                </c:pt>
                <c:pt idx="26">
                  <c:v>10.780533493833664</c:v>
                </c:pt>
              </c:numCache>
            </c:numRef>
          </c:xVal>
          <c:yVal>
            <c:numRef>
              <c:f>'Group logs'!$S$3:$S$29</c:f>
              <c:numCache>
                <c:formatCode>General</c:formatCode>
                <c:ptCount val="27"/>
                <c:pt idx="0">
                  <c:v>-0.19463558122469915</c:v>
                </c:pt>
                <c:pt idx="1">
                  <c:v>-0.21485952462375704</c:v>
                </c:pt>
                <c:pt idx="2">
                  <c:v>-0.20789430564082045</c:v>
                </c:pt>
                <c:pt idx="3">
                  <c:v>-0.20221773798692272</c:v>
                </c:pt>
                <c:pt idx="4">
                  <c:v>-0.10930923236864613</c:v>
                </c:pt>
                <c:pt idx="5">
                  <c:v>-0.29580036282517685</c:v>
                </c:pt>
                <c:pt idx="6">
                  <c:v>-0.22024409386942756</c:v>
                </c:pt>
                <c:pt idx="7">
                  <c:v>-0.34463734444717137</c:v>
                </c:pt>
                <c:pt idx="8">
                  <c:v>-0.40916486394151513</c:v>
                </c:pt>
                <c:pt idx="9">
                  <c:v>-0.39055318806548306</c:v>
                </c:pt>
                <c:pt idx="10">
                  <c:v>-0.52302747782154346</c:v>
                </c:pt>
                <c:pt idx="11">
                  <c:v>-0.53493121752259831</c:v>
                </c:pt>
                <c:pt idx="12">
                  <c:v>-0.51203344117056337</c:v>
                </c:pt>
                <c:pt idx="13">
                  <c:v>-0.51684826582750776</c:v>
                </c:pt>
                <c:pt idx="14">
                  <c:v>-0.46151044700039912</c:v>
                </c:pt>
                <c:pt idx="15">
                  <c:v>-0.37153300206534612</c:v>
                </c:pt>
                <c:pt idx="16">
                  <c:v>-0.34919273830701236</c:v>
                </c:pt>
                <c:pt idx="17">
                  <c:v>-0.31868732520323001</c:v>
                </c:pt>
                <c:pt idx="18">
                  <c:v>-0.33291296702800793</c:v>
                </c:pt>
                <c:pt idx="19">
                  <c:v>-0.20063559413412119</c:v>
                </c:pt>
                <c:pt idx="20">
                  <c:v>-9.1635820995123619E-3</c:v>
                </c:pt>
                <c:pt idx="21">
                  <c:v>-5.1582396418015826E-2</c:v>
                </c:pt>
                <c:pt idx="22">
                  <c:v>-2.301844952468432E-2</c:v>
                </c:pt>
                <c:pt idx="23">
                  <c:v>-5.1093296597344587E-2</c:v>
                </c:pt>
                <c:pt idx="24">
                  <c:v>-5.8056421122370389E-2</c:v>
                </c:pt>
                <c:pt idx="25">
                  <c:v>-0.28515488048878634</c:v>
                </c:pt>
                <c:pt idx="26">
                  <c:v>-0.24283292764695669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DF1-427C-B939-5FF515583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813360"/>
        <c:axId val="603667984"/>
      </c:scatterChart>
      <c:valAx>
        <c:axId val="203781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67984"/>
        <c:crosses val="autoZero"/>
        <c:crossBetween val="midCat"/>
      </c:valAx>
      <c:valAx>
        <c:axId val="60366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0"/>
                  <a:t> Level of Waste per Capita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81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Box and Whisker of Waste per Capita across Sub-Groups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and Whisker of Waste per Capita across Sub-Groups</a:t>
          </a:r>
        </a:p>
      </cx:txPr>
    </cx:title>
    <cx:plotArea>
      <cx:plotAreaRegion>
        <cx:series layoutId="boxWhisker" uniqueId="{2D205EE1-E073-49AA-B738-E827ECEBFA76}">
          <cx:tx>
            <cx:txData>
              <cx:f>_xlchart.v1.0</cx:f>
              <cx:v>Low Density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9BE0C9B-E026-4EAD-A5A4-2D8B2B57AB8E}">
          <cx:tx>
            <cx:txData>
              <cx:f>_xlchart.v1.2</cx:f>
              <cx:v>Mid Density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643B6C5-60FC-4394-B8FC-FCD3088F5AB5}">
          <cx:tx>
            <cx:txData>
              <cx:f>_xlchart.v1.4</cx:f>
              <cx:v>High Density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Waste per Capita (Tons per Person)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Waste per Capita (Tons per Person)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D244943-9966-49D1-80B3-AE82E3E9C74D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0A3933-44BE-4E08-B5C0-26A4EF6DADE9}">
  <sheetPr/>
  <sheetViews>
    <sheetView zoomScale="11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B1279B-72CB-4509-BCDF-4E31A54E7BE8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1719D6-433C-4F64-AC8A-267B8CCB92F2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2C7E79B-29A6-457F-A1C3-056130CD1229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84FDFF-BB91-4500-A48B-46DC5CA56D1E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5BA43B3-AA0F-4489-BEA2-C1ED2BC7F10A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CDF92-0DD8-5392-9D01-43F94E4D28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17</xdr:row>
      <xdr:rowOff>14287</xdr:rowOff>
    </xdr:from>
    <xdr:to>
      <xdr:col>12</xdr:col>
      <xdr:colOff>228600</xdr:colOff>
      <xdr:row>32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5731ED-7904-3357-F19E-C7BF9AE89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676275</xdr:colOff>
      <xdr:row>40</xdr:row>
      <xdr:rowOff>128586</xdr:rowOff>
    </xdr:from>
    <xdr:to>
      <xdr:col>15</xdr:col>
      <xdr:colOff>180975</xdr:colOff>
      <xdr:row>56</xdr:row>
      <xdr:rowOff>57149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7C6DF3-67FF-E42C-0720-9DF41E580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39EFEE-E3A7-5952-4188-F47E628A77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E55424-DBB8-D894-3ED0-02B78AA39AD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40393B7-B5EE-05CF-3F62-C121875DB1B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66C27EBC-4A67-7A23-8064-80C5584CC6C2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5221" cy="6288186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C5F58-5114-4968-C9A3-AA4DF938489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451D8-AE3C-BABB-1E7D-8367A1EEC8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6AC2A-6E1D-DFD4-DC01-055BD9C17C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CE4D-948E-4F66-B580-B590F8EF40D1}">
  <dimension ref="A1:E156"/>
  <sheetViews>
    <sheetView tabSelected="1" workbookViewId="0">
      <selection activeCell="D1" sqref="D1"/>
    </sheetView>
  </sheetViews>
  <sheetFormatPr defaultColWidth="8.85546875" defaultRowHeight="15" x14ac:dyDescent="0.25"/>
  <cols>
    <col min="1" max="1" width="58.28515625" bestFit="1" customWidth="1"/>
    <col min="2" max="2" width="13.42578125" bestFit="1" customWidth="1"/>
    <col min="3" max="3" width="12.140625" bestFit="1" customWidth="1"/>
    <col min="4" max="4" width="26.140625" bestFit="1" customWidth="1"/>
    <col min="5" max="5" width="15.855468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618</v>
      </c>
      <c r="E1" s="2" t="s">
        <v>619</v>
      </c>
    </row>
    <row r="2" spans="1:5" x14ac:dyDescent="0.25">
      <c r="A2" s="2" t="s">
        <v>3</v>
      </c>
      <c r="B2" s="2" t="s">
        <v>4</v>
      </c>
      <c r="C2" s="2" t="s">
        <v>5</v>
      </c>
      <c r="D2" t="s">
        <v>636</v>
      </c>
      <c r="E2" t="s">
        <v>1364</v>
      </c>
    </row>
    <row r="3" spans="1:5" x14ac:dyDescent="0.25">
      <c r="A3" s="2" t="s">
        <v>6</v>
      </c>
      <c r="B3" s="2" t="s">
        <v>7</v>
      </c>
      <c r="C3" s="2" t="s">
        <v>8</v>
      </c>
      <c r="D3" t="s">
        <v>636</v>
      </c>
      <c r="E3" t="s">
        <v>1364</v>
      </c>
    </row>
    <row r="4" spans="1:5" x14ac:dyDescent="0.25">
      <c r="A4" s="2" t="s">
        <v>9</v>
      </c>
      <c r="B4" s="2" t="s">
        <v>10</v>
      </c>
      <c r="C4" s="2" t="s">
        <v>11</v>
      </c>
      <c r="D4" t="s">
        <v>636</v>
      </c>
      <c r="E4" t="s">
        <v>1364</v>
      </c>
    </row>
    <row r="5" spans="1:5" x14ac:dyDescent="0.25">
      <c r="A5" s="2" t="s">
        <v>12</v>
      </c>
      <c r="B5" s="2" t="s">
        <v>13</v>
      </c>
      <c r="C5" s="2" t="s">
        <v>14</v>
      </c>
      <c r="D5" t="s">
        <v>636</v>
      </c>
      <c r="E5" t="s">
        <v>1364</v>
      </c>
    </row>
    <row r="6" spans="1:5" x14ac:dyDescent="0.25">
      <c r="A6" s="2" t="s">
        <v>15</v>
      </c>
      <c r="B6" s="2" t="s">
        <v>16</v>
      </c>
      <c r="C6" s="2" t="s">
        <v>17</v>
      </c>
      <c r="D6" t="s">
        <v>636</v>
      </c>
      <c r="E6" t="s">
        <v>1364</v>
      </c>
    </row>
    <row r="7" spans="1:5" x14ac:dyDescent="0.25">
      <c r="A7" s="2" t="s">
        <v>18</v>
      </c>
      <c r="B7" s="2" t="s">
        <v>19</v>
      </c>
      <c r="C7" s="2" t="s">
        <v>20</v>
      </c>
      <c r="D7" t="s">
        <v>636</v>
      </c>
      <c r="E7" t="s">
        <v>1364</v>
      </c>
    </row>
    <row r="8" spans="1:5" x14ac:dyDescent="0.25">
      <c r="A8" s="2" t="s">
        <v>21</v>
      </c>
      <c r="B8" s="2" t="s">
        <v>22</v>
      </c>
      <c r="C8" s="2" t="s">
        <v>23</v>
      </c>
      <c r="D8" t="s">
        <v>636</v>
      </c>
      <c r="E8" t="s">
        <v>1364</v>
      </c>
    </row>
    <row r="9" spans="1:5" x14ac:dyDescent="0.25">
      <c r="A9" s="2" t="s">
        <v>24</v>
      </c>
      <c r="B9" s="2" t="s">
        <v>25</v>
      </c>
      <c r="C9" s="2" t="s">
        <v>26</v>
      </c>
      <c r="D9" t="s">
        <v>636</v>
      </c>
      <c r="E9" t="s">
        <v>1364</v>
      </c>
    </row>
    <row r="10" spans="1:5" x14ac:dyDescent="0.25">
      <c r="A10" s="2" t="s">
        <v>27</v>
      </c>
      <c r="B10" s="2" t="s">
        <v>28</v>
      </c>
      <c r="C10" s="2" t="s">
        <v>29</v>
      </c>
      <c r="D10" t="s">
        <v>636</v>
      </c>
      <c r="E10" t="s">
        <v>1364</v>
      </c>
    </row>
    <row r="11" spans="1:5" x14ac:dyDescent="0.25">
      <c r="A11" s="2" t="s">
        <v>30</v>
      </c>
      <c r="B11" s="2" t="s">
        <v>31</v>
      </c>
      <c r="C11" s="2" t="s">
        <v>32</v>
      </c>
      <c r="D11" t="s">
        <v>636</v>
      </c>
      <c r="E11" t="s">
        <v>1364</v>
      </c>
    </row>
    <row r="12" spans="1:5" x14ac:dyDescent="0.25">
      <c r="A12" s="2" t="s">
        <v>33</v>
      </c>
      <c r="B12" s="2" t="s">
        <v>34</v>
      </c>
      <c r="C12" s="2" t="s">
        <v>35</v>
      </c>
      <c r="D12" t="s">
        <v>636</v>
      </c>
      <c r="E12" t="s">
        <v>1364</v>
      </c>
    </row>
    <row r="13" spans="1:5" x14ac:dyDescent="0.25">
      <c r="A13" s="2" t="s">
        <v>36</v>
      </c>
      <c r="B13" s="2" t="s">
        <v>37</v>
      </c>
      <c r="C13" s="2" t="s">
        <v>38</v>
      </c>
      <c r="D13" t="s">
        <v>636</v>
      </c>
      <c r="E13" t="s">
        <v>1364</v>
      </c>
    </row>
    <row r="14" spans="1:5" x14ac:dyDescent="0.25">
      <c r="A14" s="2" t="s">
        <v>39</v>
      </c>
      <c r="B14" s="2" t="s">
        <v>40</v>
      </c>
      <c r="C14" s="2" t="s">
        <v>41</v>
      </c>
      <c r="D14" t="s">
        <v>636</v>
      </c>
      <c r="E14" t="s">
        <v>1364</v>
      </c>
    </row>
    <row r="15" spans="1:5" x14ac:dyDescent="0.25">
      <c r="A15" s="2" t="s">
        <v>42</v>
      </c>
      <c r="B15" s="2" t="s">
        <v>43</v>
      </c>
      <c r="C15" s="2" t="s">
        <v>44</v>
      </c>
      <c r="D15" t="s">
        <v>636</v>
      </c>
      <c r="E15" t="s">
        <v>1364</v>
      </c>
    </row>
    <row r="16" spans="1:5" x14ac:dyDescent="0.25">
      <c r="A16" s="2" t="s">
        <v>45</v>
      </c>
      <c r="B16" s="2" t="s">
        <v>46</v>
      </c>
      <c r="C16" s="2" t="s">
        <v>47</v>
      </c>
      <c r="D16" t="s">
        <v>636</v>
      </c>
      <c r="E16" t="s">
        <v>1364</v>
      </c>
    </row>
    <row r="17" spans="1:5" x14ac:dyDescent="0.25">
      <c r="A17" s="2" t="s">
        <v>48</v>
      </c>
      <c r="B17" s="2" t="s">
        <v>49</v>
      </c>
      <c r="C17" s="2" t="s">
        <v>50</v>
      </c>
      <c r="D17" t="s">
        <v>636</v>
      </c>
      <c r="E17" t="s">
        <v>1364</v>
      </c>
    </row>
    <row r="18" spans="1:5" x14ac:dyDescent="0.25">
      <c r="A18" s="2" t="s">
        <v>51</v>
      </c>
      <c r="B18" s="2" t="s">
        <v>52</v>
      </c>
      <c r="C18" s="2" t="s">
        <v>53</v>
      </c>
      <c r="D18" t="s">
        <v>645</v>
      </c>
      <c r="E18" t="s">
        <v>1363</v>
      </c>
    </row>
    <row r="19" spans="1:5" x14ac:dyDescent="0.25">
      <c r="A19" s="2" t="s">
        <v>54</v>
      </c>
      <c r="B19" s="2" t="s">
        <v>55</v>
      </c>
      <c r="C19" s="2" t="s">
        <v>56</v>
      </c>
      <c r="D19" t="s">
        <v>645</v>
      </c>
      <c r="E19" t="s">
        <v>1363</v>
      </c>
    </row>
    <row r="20" spans="1:5" x14ac:dyDescent="0.25">
      <c r="A20" s="2" t="s">
        <v>57</v>
      </c>
      <c r="B20" s="2" t="s">
        <v>58</v>
      </c>
      <c r="C20" s="2" t="s">
        <v>59</v>
      </c>
      <c r="D20" t="s">
        <v>645</v>
      </c>
      <c r="E20" t="s">
        <v>1363</v>
      </c>
    </row>
    <row r="21" spans="1:5" x14ac:dyDescent="0.25">
      <c r="A21" s="2" t="s">
        <v>60</v>
      </c>
      <c r="B21" s="2" t="s">
        <v>61</v>
      </c>
      <c r="C21" s="2" t="s">
        <v>62</v>
      </c>
      <c r="D21" t="s">
        <v>645</v>
      </c>
      <c r="E21" t="s">
        <v>1363</v>
      </c>
    </row>
    <row r="22" spans="1:5" x14ac:dyDescent="0.25">
      <c r="A22" s="2" t="s">
        <v>63</v>
      </c>
      <c r="B22" s="2" t="s">
        <v>64</v>
      </c>
      <c r="C22" s="2" t="s">
        <v>65</v>
      </c>
      <c r="D22" t="s">
        <v>645</v>
      </c>
      <c r="E22" t="s">
        <v>1363</v>
      </c>
    </row>
    <row r="23" spans="1:5" x14ac:dyDescent="0.25">
      <c r="A23" s="2" t="s">
        <v>66</v>
      </c>
      <c r="B23" s="2" t="s">
        <v>67</v>
      </c>
      <c r="C23" s="2" t="s">
        <v>68</v>
      </c>
      <c r="D23" t="s">
        <v>645</v>
      </c>
      <c r="E23" t="s">
        <v>1363</v>
      </c>
    </row>
    <row r="24" spans="1:5" x14ac:dyDescent="0.25">
      <c r="A24" s="2" t="s">
        <v>69</v>
      </c>
      <c r="B24" s="2" t="s">
        <v>70</v>
      </c>
      <c r="C24" s="2" t="s">
        <v>71</v>
      </c>
      <c r="D24" t="s">
        <v>645</v>
      </c>
      <c r="E24" t="s">
        <v>1363</v>
      </c>
    </row>
    <row r="25" spans="1:5" x14ac:dyDescent="0.25">
      <c r="A25" s="2" t="s">
        <v>72</v>
      </c>
      <c r="B25" s="2" t="s">
        <v>73</v>
      </c>
      <c r="C25" s="2" t="s">
        <v>74</v>
      </c>
      <c r="D25" t="s">
        <v>645</v>
      </c>
      <c r="E25" t="s">
        <v>1363</v>
      </c>
    </row>
    <row r="26" spans="1:5" x14ac:dyDescent="0.25">
      <c r="A26" s="2" t="s">
        <v>75</v>
      </c>
      <c r="B26" s="2" t="s">
        <v>76</v>
      </c>
      <c r="C26" s="2" t="s">
        <v>77</v>
      </c>
      <c r="D26" t="s">
        <v>645</v>
      </c>
      <c r="E26" t="s">
        <v>1363</v>
      </c>
    </row>
    <row r="27" spans="1:5" x14ac:dyDescent="0.25">
      <c r="A27" s="2" t="s">
        <v>78</v>
      </c>
      <c r="B27" s="2" t="s">
        <v>79</v>
      </c>
      <c r="C27" s="2" t="s">
        <v>80</v>
      </c>
      <c r="D27" t="s">
        <v>645</v>
      </c>
      <c r="E27" t="s">
        <v>1363</v>
      </c>
    </row>
    <row r="28" spans="1:5" x14ac:dyDescent="0.25">
      <c r="A28" s="2" t="s">
        <v>81</v>
      </c>
      <c r="B28" s="2" t="s">
        <v>82</v>
      </c>
      <c r="C28" s="2" t="s">
        <v>83</v>
      </c>
      <c r="D28" t="s">
        <v>645</v>
      </c>
      <c r="E28" t="s">
        <v>1363</v>
      </c>
    </row>
    <row r="29" spans="1:5" x14ac:dyDescent="0.25">
      <c r="A29" s="2" t="s">
        <v>84</v>
      </c>
      <c r="B29" s="2" t="s">
        <v>85</v>
      </c>
      <c r="C29" s="2" t="s">
        <v>86</v>
      </c>
      <c r="D29" t="s">
        <v>645</v>
      </c>
      <c r="E29" t="s">
        <v>1363</v>
      </c>
    </row>
    <row r="30" spans="1:5" x14ac:dyDescent="0.25">
      <c r="A30" s="2" t="s">
        <v>87</v>
      </c>
      <c r="B30" s="2" t="s">
        <v>88</v>
      </c>
      <c r="C30" s="2" t="s">
        <v>89</v>
      </c>
      <c r="D30" t="s">
        <v>645</v>
      </c>
      <c r="E30" t="s">
        <v>1363</v>
      </c>
    </row>
    <row r="31" spans="1:5" x14ac:dyDescent="0.25">
      <c r="A31" s="2" t="s">
        <v>90</v>
      </c>
      <c r="B31" s="2" t="s">
        <v>91</v>
      </c>
      <c r="C31" s="2" t="s">
        <v>92</v>
      </c>
      <c r="D31" t="s">
        <v>645</v>
      </c>
      <c r="E31" t="s">
        <v>1363</v>
      </c>
    </row>
    <row r="32" spans="1:5" x14ac:dyDescent="0.25">
      <c r="A32" s="2" t="s">
        <v>93</v>
      </c>
      <c r="B32" s="2" t="s">
        <v>94</v>
      </c>
      <c r="C32" s="2" t="s">
        <v>95</v>
      </c>
      <c r="D32" t="s">
        <v>633</v>
      </c>
      <c r="E32" t="s">
        <v>1362</v>
      </c>
    </row>
    <row r="33" spans="1:5" x14ac:dyDescent="0.25">
      <c r="A33" s="2" t="s">
        <v>96</v>
      </c>
      <c r="B33" s="2" t="s">
        <v>97</v>
      </c>
      <c r="C33" s="2" t="s">
        <v>98</v>
      </c>
      <c r="D33" t="s">
        <v>633</v>
      </c>
      <c r="E33" t="s">
        <v>1362</v>
      </c>
    </row>
    <row r="34" spans="1:5" x14ac:dyDescent="0.25">
      <c r="A34" s="2" t="s">
        <v>99</v>
      </c>
      <c r="B34" s="2" t="s">
        <v>100</v>
      </c>
      <c r="C34" s="2" t="s">
        <v>101</v>
      </c>
      <c r="D34" t="s">
        <v>633</v>
      </c>
      <c r="E34" t="s">
        <v>1362</v>
      </c>
    </row>
    <row r="35" spans="1:5" x14ac:dyDescent="0.25">
      <c r="A35" s="2" t="s">
        <v>102</v>
      </c>
      <c r="B35" s="2" t="s">
        <v>103</v>
      </c>
      <c r="C35" s="2" t="s">
        <v>104</v>
      </c>
      <c r="D35" t="s">
        <v>633</v>
      </c>
      <c r="E35" t="s">
        <v>1362</v>
      </c>
    </row>
    <row r="36" spans="1:5" x14ac:dyDescent="0.25">
      <c r="A36" s="2" t="s">
        <v>105</v>
      </c>
      <c r="B36" s="2" t="s">
        <v>106</v>
      </c>
      <c r="C36" s="2" t="s">
        <v>107</v>
      </c>
      <c r="D36" t="s">
        <v>633</v>
      </c>
      <c r="E36" t="s">
        <v>1362</v>
      </c>
    </row>
    <row r="37" spans="1:5" x14ac:dyDescent="0.25">
      <c r="A37" s="2" t="s">
        <v>108</v>
      </c>
      <c r="B37" s="2" t="s">
        <v>109</v>
      </c>
      <c r="C37" s="2" t="s">
        <v>110</v>
      </c>
      <c r="D37" t="s">
        <v>633</v>
      </c>
      <c r="E37" t="s">
        <v>1362</v>
      </c>
    </row>
    <row r="38" spans="1:5" x14ac:dyDescent="0.25">
      <c r="A38" s="2" t="s">
        <v>111</v>
      </c>
      <c r="B38" s="2" t="s">
        <v>112</v>
      </c>
      <c r="C38" s="2" t="s">
        <v>113</v>
      </c>
      <c r="D38" t="s">
        <v>633</v>
      </c>
      <c r="E38" t="s">
        <v>1362</v>
      </c>
    </row>
    <row r="39" spans="1:5" x14ac:dyDescent="0.25">
      <c r="A39" s="2" t="s">
        <v>114</v>
      </c>
      <c r="B39" s="2" t="s">
        <v>115</v>
      </c>
      <c r="C39" s="2" t="s">
        <v>116</v>
      </c>
      <c r="D39" t="s">
        <v>633</v>
      </c>
      <c r="E39" t="s">
        <v>1362</v>
      </c>
    </row>
    <row r="40" spans="1:5" x14ac:dyDescent="0.25">
      <c r="A40" s="2" t="s">
        <v>117</v>
      </c>
      <c r="B40" s="2" t="s">
        <v>118</v>
      </c>
      <c r="C40" s="2" t="s">
        <v>119</v>
      </c>
      <c r="D40" t="s">
        <v>690</v>
      </c>
      <c r="E40" t="s">
        <v>1353</v>
      </c>
    </row>
    <row r="41" spans="1:5" x14ac:dyDescent="0.25">
      <c r="A41" s="2" t="s">
        <v>120</v>
      </c>
      <c r="B41" s="2" t="s">
        <v>121</v>
      </c>
      <c r="C41" s="2" t="s">
        <v>122</v>
      </c>
      <c r="D41" t="s">
        <v>690</v>
      </c>
      <c r="E41" t="s">
        <v>1353</v>
      </c>
    </row>
    <row r="42" spans="1:5" x14ac:dyDescent="0.25">
      <c r="A42" s="2" t="s">
        <v>1361</v>
      </c>
      <c r="B42" s="2" t="s">
        <v>1360</v>
      </c>
      <c r="C42" s="2" t="s">
        <v>1359</v>
      </c>
      <c r="D42" t="s">
        <v>690</v>
      </c>
      <c r="E42" t="s">
        <v>1353</v>
      </c>
    </row>
    <row r="43" spans="1:5" x14ac:dyDescent="0.25">
      <c r="A43" s="2" t="s">
        <v>123</v>
      </c>
      <c r="B43" s="2" t="s">
        <v>124</v>
      </c>
      <c r="C43" s="2" t="s">
        <v>125</v>
      </c>
      <c r="D43" t="s">
        <v>690</v>
      </c>
      <c r="E43" t="s">
        <v>1353</v>
      </c>
    </row>
    <row r="44" spans="1:5" x14ac:dyDescent="0.25">
      <c r="A44" s="2" t="s">
        <v>126</v>
      </c>
      <c r="B44" s="2" t="s">
        <v>127</v>
      </c>
      <c r="C44" s="2" t="s">
        <v>128</v>
      </c>
      <c r="D44" t="s">
        <v>690</v>
      </c>
      <c r="E44" t="s">
        <v>1353</v>
      </c>
    </row>
    <row r="45" spans="1:5" x14ac:dyDescent="0.25">
      <c r="A45" s="2" t="s">
        <v>129</v>
      </c>
      <c r="B45" s="2" t="s">
        <v>130</v>
      </c>
      <c r="C45" s="2" t="s">
        <v>131</v>
      </c>
      <c r="D45" t="s">
        <v>690</v>
      </c>
      <c r="E45" t="s">
        <v>1353</v>
      </c>
    </row>
    <row r="46" spans="1:5" x14ac:dyDescent="0.25">
      <c r="A46" s="2" t="s">
        <v>129</v>
      </c>
      <c r="B46" s="2" t="s">
        <v>1358</v>
      </c>
      <c r="C46" s="2" t="s">
        <v>131</v>
      </c>
      <c r="D46" t="s">
        <v>690</v>
      </c>
      <c r="E46" t="s">
        <v>1353</v>
      </c>
    </row>
    <row r="47" spans="1:5" x14ac:dyDescent="0.25">
      <c r="A47" s="2" t="s">
        <v>132</v>
      </c>
      <c r="B47" s="2" t="s">
        <v>133</v>
      </c>
      <c r="C47" s="2" t="s">
        <v>134</v>
      </c>
      <c r="D47" t="s">
        <v>690</v>
      </c>
      <c r="E47" t="s">
        <v>1353</v>
      </c>
    </row>
    <row r="48" spans="1:5" x14ac:dyDescent="0.25">
      <c r="A48" s="2" t="s">
        <v>135</v>
      </c>
      <c r="B48" s="2" t="s">
        <v>136</v>
      </c>
      <c r="C48" s="2" t="s">
        <v>137</v>
      </c>
      <c r="D48" t="s">
        <v>690</v>
      </c>
      <c r="E48" t="s">
        <v>1353</v>
      </c>
    </row>
    <row r="49" spans="1:5" x14ac:dyDescent="0.25">
      <c r="A49" s="2" t="s">
        <v>138</v>
      </c>
      <c r="B49" s="2" t="s">
        <v>139</v>
      </c>
      <c r="C49" s="2" t="s">
        <v>140</v>
      </c>
      <c r="D49" t="s">
        <v>690</v>
      </c>
      <c r="E49" t="s">
        <v>1353</v>
      </c>
    </row>
    <row r="50" spans="1:5" x14ac:dyDescent="0.25">
      <c r="A50" s="2" t="s">
        <v>141</v>
      </c>
      <c r="B50" s="2" t="s">
        <v>142</v>
      </c>
      <c r="C50" s="2" t="s">
        <v>143</v>
      </c>
      <c r="D50" t="s">
        <v>690</v>
      </c>
      <c r="E50" t="s">
        <v>1353</v>
      </c>
    </row>
    <row r="51" spans="1:5" x14ac:dyDescent="0.25">
      <c r="A51" s="2" t="s">
        <v>144</v>
      </c>
      <c r="B51" s="2" t="s">
        <v>145</v>
      </c>
      <c r="C51" s="2" t="s">
        <v>146</v>
      </c>
      <c r="D51" t="s">
        <v>690</v>
      </c>
      <c r="E51" t="s">
        <v>1353</v>
      </c>
    </row>
    <row r="52" spans="1:5" x14ac:dyDescent="0.25">
      <c r="A52" s="2" t="s">
        <v>147</v>
      </c>
      <c r="B52" s="2" t="s">
        <v>148</v>
      </c>
      <c r="C52" s="2" t="s">
        <v>149</v>
      </c>
      <c r="D52" t="s">
        <v>690</v>
      </c>
      <c r="E52" t="s">
        <v>1353</v>
      </c>
    </row>
    <row r="53" spans="1:5" x14ac:dyDescent="0.25">
      <c r="A53" s="2" t="s">
        <v>150</v>
      </c>
      <c r="B53" s="2" t="s">
        <v>151</v>
      </c>
      <c r="C53" s="2" t="s">
        <v>152</v>
      </c>
      <c r="D53" t="s">
        <v>690</v>
      </c>
      <c r="E53" t="s">
        <v>1353</v>
      </c>
    </row>
    <row r="54" spans="1:5" x14ac:dyDescent="0.25">
      <c r="A54" s="2" t="s">
        <v>153</v>
      </c>
      <c r="B54" s="2" t="s">
        <v>154</v>
      </c>
      <c r="C54" s="2" t="s">
        <v>155</v>
      </c>
      <c r="D54" t="s">
        <v>690</v>
      </c>
      <c r="E54" t="s">
        <v>1353</v>
      </c>
    </row>
    <row r="55" spans="1:5" x14ac:dyDescent="0.25">
      <c r="A55" s="2" t="s">
        <v>153</v>
      </c>
      <c r="B55" s="2" t="s">
        <v>1357</v>
      </c>
      <c r="C55" s="2" t="s">
        <v>155</v>
      </c>
      <c r="D55" t="s">
        <v>690</v>
      </c>
      <c r="E55" t="s">
        <v>1353</v>
      </c>
    </row>
    <row r="56" spans="1:5" x14ac:dyDescent="0.25">
      <c r="A56" s="2" t="s">
        <v>156</v>
      </c>
      <c r="B56" s="2" t="s">
        <v>157</v>
      </c>
      <c r="C56" s="2" t="s">
        <v>158</v>
      </c>
      <c r="D56" t="s">
        <v>690</v>
      </c>
      <c r="E56" t="s">
        <v>1353</v>
      </c>
    </row>
    <row r="57" spans="1:5" x14ac:dyDescent="0.25">
      <c r="A57" s="2" t="s">
        <v>159</v>
      </c>
      <c r="B57" s="2" t="s">
        <v>160</v>
      </c>
      <c r="C57" s="2" t="s">
        <v>161</v>
      </c>
      <c r="D57" t="s">
        <v>690</v>
      </c>
      <c r="E57" t="s">
        <v>1353</v>
      </c>
    </row>
    <row r="58" spans="1:5" x14ac:dyDescent="0.25">
      <c r="A58" s="2" t="s">
        <v>162</v>
      </c>
      <c r="B58" s="2" t="s">
        <v>163</v>
      </c>
      <c r="C58" s="2" t="s">
        <v>164</v>
      </c>
      <c r="D58" t="s">
        <v>690</v>
      </c>
      <c r="E58" t="s">
        <v>1353</v>
      </c>
    </row>
    <row r="59" spans="1:5" x14ac:dyDescent="0.25">
      <c r="A59" s="2" t="s">
        <v>1356</v>
      </c>
      <c r="B59" s="2" t="s">
        <v>1355</v>
      </c>
      <c r="C59" s="2" t="s">
        <v>1354</v>
      </c>
      <c r="D59" t="s">
        <v>690</v>
      </c>
      <c r="E59" t="s">
        <v>1353</v>
      </c>
    </row>
    <row r="60" spans="1:5" x14ac:dyDescent="0.25">
      <c r="A60" s="2" t="s">
        <v>165</v>
      </c>
      <c r="B60" s="2" t="s">
        <v>166</v>
      </c>
      <c r="C60" s="2" t="s">
        <v>167</v>
      </c>
      <c r="D60" t="s">
        <v>690</v>
      </c>
      <c r="E60" t="s">
        <v>1353</v>
      </c>
    </row>
    <row r="61" spans="1:5" x14ac:dyDescent="0.25">
      <c r="A61" s="2" t="s">
        <v>168</v>
      </c>
      <c r="B61" s="2" t="s">
        <v>169</v>
      </c>
      <c r="C61" s="2" t="s">
        <v>170</v>
      </c>
      <c r="D61" t="s">
        <v>690</v>
      </c>
      <c r="E61" t="s">
        <v>1353</v>
      </c>
    </row>
    <row r="62" spans="1:5" x14ac:dyDescent="0.25">
      <c r="A62" s="2" t="s">
        <v>171</v>
      </c>
      <c r="B62" s="2" t="s">
        <v>172</v>
      </c>
      <c r="C62" s="2" t="s">
        <v>173</v>
      </c>
      <c r="D62" t="s">
        <v>621</v>
      </c>
      <c r="E62" t="s">
        <v>1352</v>
      </c>
    </row>
    <row r="63" spans="1:5" x14ac:dyDescent="0.25">
      <c r="A63" s="2" t="s">
        <v>174</v>
      </c>
      <c r="B63" s="2" t="s">
        <v>175</v>
      </c>
      <c r="C63" s="2" t="s">
        <v>176</v>
      </c>
      <c r="D63" t="s">
        <v>621</v>
      </c>
      <c r="E63" t="s">
        <v>1352</v>
      </c>
    </row>
    <row r="64" spans="1:5" x14ac:dyDescent="0.25">
      <c r="A64" s="2" t="s">
        <v>177</v>
      </c>
      <c r="B64" s="2" t="s">
        <v>178</v>
      </c>
      <c r="C64" s="2" t="s">
        <v>179</v>
      </c>
      <c r="D64" t="s">
        <v>621</v>
      </c>
      <c r="E64" t="s">
        <v>1352</v>
      </c>
    </row>
    <row r="65" spans="1:5" x14ac:dyDescent="0.25">
      <c r="A65" s="2" t="s">
        <v>180</v>
      </c>
      <c r="B65" s="2" t="s">
        <v>181</v>
      </c>
      <c r="C65" s="2" t="s">
        <v>182</v>
      </c>
      <c r="D65" t="s">
        <v>621</v>
      </c>
      <c r="E65" t="s">
        <v>1352</v>
      </c>
    </row>
    <row r="66" spans="1:5" x14ac:dyDescent="0.25">
      <c r="A66" s="2" t="s">
        <v>183</v>
      </c>
      <c r="B66" s="2" t="s">
        <v>184</v>
      </c>
      <c r="C66" s="2" t="s">
        <v>185</v>
      </c>
      <c r="D66" t="s">
        <v>621</v>
      </c>
      <c r="E66" t="s">
        <v>1352</v>
      </c>
    </row>
    <row r="67" spans="1:5" x14ac:dyDescent="0.25">
      <c r="A67" s="2" t="s">
        <v>186</v>
      </c>
      <c r="B67" s="2" t="s">
        <v>187</v>
      </c>
      <c r="C67" s="2" t="s">
        <v>188</v>
      </c>
      <c r="D67" t="s">
        <v>621</v>
      </c>
      <c r="E67" t="s">
        <v>1352</v>
      </c>
    </row>
    <row r="68" spans="1:5" x14ac:dyDescent="0.25">
      <c r="A68" s="2" t="s">
        <v>189</v>
      </c>
      <c r="B68" s="2" t="s">
        <v>190</v>
      </c>
      <c r="C68" s="2" t="s">
        <v>191</v>
      </c>
      <c r="D68" t="s">
        <v>621</v>
      </c>
      <c r="E68" t="s">
        <v>1352</v>
      </c>
    </row>
    <row r="69" spans="1:5" x14ac:dyDescent="0.25">
      <c r="A69" s="2" t="s">
        <v>192</v>
      </c>
      <c r="B69" s="2" t="s">
        <v>193</v>
      </c>
      <c r="C69" s="2" t="s">
        <v>194</v>
      </c>
      <c r="D69" t="s">
        <v>663</v>
      </c>
      <c r="E69" t="s">
        <v>1351</v>
      </c>
    </row>
    <row r="70" spans="1:5" x14ac:dyDescent="0.25">
      <c r="A70" s="2" t="s">
        <v>195</v>
      </c>
      <c r="B70" s="2" t="s">
        <v>196</v>
      </c>
      <c r="C70" s="2" t="s">
        <v>197</v>
      </c>
      <c r="D70" t="s">
        <v>663</v>
      </c>
      <c r="E70" t="s">
        <v>1351</v>
      </c>
    </row>
    <row r="71" spans="1:5" x14ac:dyDescent="0.25">
      <c r="A71" s="2" t="s">
        <v>198</v>
      </c>
      <c r="B71" s="2" t="s">
        <v>199</v>
      </c>
      <c r="C71" s="2" t="s">
        <v>200</v>
      </c>
      <c r="D71" t="s">
        <v>663</v>
      </c>
      <c r="E71" t="s">
        <v>1351</v>
      </c>
    </row>
    <row r="72" spans="1:5" x14ac:dyDescent="0.25">
      <c r="A72" s="2" t="s">
        <v>201</v>
      </c>
      <c r="B72" s="2" t="s">
        <v>202</v>
      </c>
      <c r="C72" s="2" t="s">
        <v>203</v>
      </c>
      <c r="D72" t="s">
        <v>663</v>
      </c>
      <c r="E72" t="s">
        <v>1351</v>
      </c>
    </row>
    <row r="73" spans="1:5" x14ac:dyDescent="0.25">
      <c r="A73" s="2" t="s">
        <v>204</v>
      </c>
      <c r="B73" s="2" t="s">
        <v>205</v>
      </c>
      <c r="C73" s="2" t="s">
        <v>206</v>
      </c>
      <c r="D73" t="s">
        <v>663</v>
      </c>
      <c r="E73" t="s">
        <v>1351</v>
      </c>
    </row>
    <row r="74" spans="1:5" x14ac:dyDescent="0.25">
      <c r="A74" s="2" t="s">
        <v>207</v>
      </c>
      <c r="B74" s="2" t="s">
        <v>208</v>
      </c>
      <c r="C74" s="2" t="s">
        <v>209</v>
      </c>
      <c r="D74" t="s">
        <v>663</v>
      </c>
      <c r="E74" t="s">
        <v>1351</v>
      </c>
    </row>
    <row r="75" spans="1:5" x14ac:dyDescent="0.25">
      <c r="A75" s="2" t="s">
        <v>210</v>
      </c>
      <c r="B75" s="2" t="s">
        <v>211</v>
      </c>
      <c r="C75" s="2" t="s">
        <v>212</v>
      </c>
      <c r="D75" t="s">
        <v>663</v>
      </c>
      <c r="E75" t="s">
        <v>1351</v>
      </c>
    </row>
    <row r="76" spans="1:5" x14ac:dyDescent="0.25">
      <c r="A76" s="2" t="s">
        <v>213</v>
      </c>
      <c r="B76" s="2" t="s">
        <v>214</v>
      </c>
      <c r="C76" s="2" t="s">
        <v>215</v>
      </c>
      <c r="D76" t="s">
        <v>663</v>
      </c>
      <c r="E76" t="s">
        <v>1351</v>
      </c>
    </row>
    <row r="77" spans="1:5" x14ac:dyDescent="0.25">
      <c r="A77" s="2" t="s">
        <v>216</v>
      </c>
      <c r="B77" s="2" t="s">
        <v>217</v>
      </c>
      <c r="C77" s="2" t="s">
        <v>218</v>
      </c>
      <c r="D77" t="s">
        <v>624</v>
      </c>
      <c r="E77" t="s">
        <v>1350</v>
      </c>
    </row>
    <row r="78" spans="1:5" s="3" customFormat="1" x14ac:dyDescent="0.25">
      <c r="A78" s="4" t="s">
        <v>219</v>
      </c>
      <c r="B78" s="4" t="s">
        <v>220</v>
      </c>
      <c r="C78" s="4" t="s">
        <v>221</v>
      </c>
      <c r="D78" t="s">
        <v>624</v>
      </c>
      <c r="E78" s="3" t="s">
        <v>1350</v>
      </c>
    </row>
    <row r="79" spans="1:5" x14ac:dyDescent="0.25">
      <c r="A79" s="2" t="s">
        <v>222</v>
      </c>
      <c r="B79" s="2" t="s">
        <v>223</v>
      </c>
      <c r="C79" s="2" t="s">
        <v>224</v>
      </c>
      <c r="D79" t="s">
        <v>624</v>
      </c>
      <c r="E79" t="s">
        <v>1350</v>
      </c>
    </row>
    <row r="80" spans="1:5" x14ac:dyDescent="0.25">
      <c r="A80" s="2" t="s">
        <v>225</v>
      </c>
      <c r="B80" s="2" t="s">
        <v>226</v>
      </c>
      <c r="C80" s="2" t="s">
        <v>227</v>
      </c>
      <c r="D80" t="s">
        <v>624</v>
      </c>
      <c r="E80" t="s">
        <v>1350</v>
      </c>
    </row>
    <row r="81" spans="1:5" x14ac:dyDescent="0.25">
      <c r="A81" s="2" t="s">
        <v>228</v>
      </c>
      <c r="B81" s="2" t="s">
        <v>229</v>
      </c>
      <c r="C81" s="2" t="s">
        <v>230</v>
      </c>
      <c r="D81" t="s">
        <v>624</v>
      </c>
      <c r="E81" t="s">
        <v>1350</v>
      </c>
    </row>
    <row r="82" spans="1:5" x14ac:dyDescent="0.25">
      <c r="A82" s="2" t="s">
        <v>231</v>
      </c>
      <c r="B82" s="2" t="s">
        <v>232</v>
      </c>
      <c r="C82" s="2" t="s">
        <v>233</v>
      </c>
      <c r="D82" t="s">
        <v>624</v>
      </c>
      <c r="E82" t="s">
        <v>1350</v>
      </c>
    </row>
    <row r="83" spans="1:5" x14ac:dyDescent="0.25">
      <c r="A83" s="2" t="s">
        <v>234</v>
      </c>
      <c r="B83" s="2" t="s">
        <v>235</v>
      </c>
      <c r="C83" s="2" t="s">
        <v>236</v>
      </c>
      <c r="D83" t="s">
        <v>624</v>
      </c>
      <c r="E83" t="s">
        <v>1350</v>
      </c>
    </row>
    <row r="84" spans="1:5" x14ac:dyDescent="0.25">
      <c r="A84" s="2" t="s">
        <v>237</v>
      </c>
      <c r="B84" s="2" t="s">
        <v>238</v>
      </c>
      <c r="C84" s="2" t="s">
        <v>239</v>
      </c>
      <c r="D84" t="s">
        <v>624</v>
      </c>
      <c r="E84" t="s">
        <v>1350</v>
      </c>
    </row>
    <row r="85" spans="1:5" x14ac:dyDescent="0.25">
      <c r="A85" s="2" t="s">
        <v>240</v>
      </c>
      <c r="B85" s="2" t="s">
        <v>241</v>
      </c>
      <c r="C85" s="2" t="s">
        <v>242</v>
      </c>
      <c r="D85" t="s">
        <v>624</v>
      </c>
      <c r="E85" t="s">
        <v>1350</v>
      </c>
    </row>
    <row r="86" spans="1:5" x14ac:dyDescent="0.25">
      <c r="A86" s="2" t="s">
        <v>243</v>
      </c>
      <c r="B86" s="2" t="s">
        <v>244</v>
      </c>
      <c r="C86" s="2" t="s">
        <v>245</v>
      </c>
      <c r="D86" t="s">
        <v>624</v>
      </c>
      <c r="E86" t="s">
        <v>1350</v>
      </c>
    </row>
    <row r="87" spans="1:5" x14ac:dyDescent="0.25">
      <c r="A87" s="2" t="s">
        <v>246</v>
      </c>
      <c r="B87" s="2" t="s">
        <v>247</v>
      </c>
      <c r="C87" s="2" t="s">
        <v>248</v>
      </c>
      <c r="D87" t="s">
        <v>624</v>
      </c>
      <c r="E87" t="s">
        <v>1350</v>
      </c>
    </row>
    <row r="88" spans="1:5" x14ac:dyDescent="0.25">
      <c r="A88" s="2" t="s">
        <v>249</v>
      </c>
      <c r="B88" s="2" t="s">
        <v>250</v>
      </c>
      <c r="C88" s="2" t="s">
        <v>251</v>
      </c>
      <c r="D88" t="s">
        <v>624</v>
      </c>
      <c r="E88" t="s">
        <v>1350</v>
      </c>
    </row>
    <row r="89" spans="1:5" x14ac:dyDescent="0.25">
      <c r="A89" s="2" t="s">
        <v>252</v>
      </c>
      <c r="B89" s="2" t="s">
        <v>253</v>
      </c>
      <c r="C89" s="2" t="s">
        <v>254</v>
      </c>
      <c r="D89" t="s">
        <v>624</v>
      </c>
      <c r="E89" t="s">
        <v>1350</v>
      </c>
    </row>
    <row r="90" spans="1:5" x14ac:dyDescent="0.25">
      <c r="A90" s="2" t="s">
        <v>255</v>
      </c>
      <c r="B90" s="2" t="s">
        <v>256</v>
      </c>
      <c r="C90" s="2" t="s">
        <v>257</v>
      </c>
      <c r="D90" t="s">
        <v>686</v>
      </c>
      <c r="E90" t="s">
        <v>1349</v>
      </c>
    </row>
    <row r="91" spans="1:5" x14ac:dyDescent="0.25">
      <c r="A91" s="2" t="s">
        <v>258</v>
      </c>
      <c r="B91" s="2" t="s">
        <v>259</v>
      </c>
      <c r="C91" s="2" t="s">
        <v>260</v>
      </c>
      <c r="D91" t="s">
        <v>686</v>
      </c>
      <c r="E91" t="s">
        <v>1349</v>
      </c>
    </row>
    <row r="92" spans="1:5" x14ac:dyDescent="0.25">
      <c r="A92" s="2" t="s">
        <v>261</v>
      </c>
      <c r="B92" s="2" t="s">
        <v>262</v>
      </c>
      <c r="C92" s="2" t="s">
        <v>263</v>
      </c>
      <c r="D92" t="s">
        <v>686</v>
      </c>
      <c r="E92" t="s">
        <v>1349</v>
      </c>
    </row>
    <row r="93" spans="1:5" x14ac:dyDescent="0.25">
      <c r="A93" s="2" t="s">
        <v>264</v>
      </c>
      <c r="B93" s="2" t="s">
        <v>265</v>
      </c>
      <c r="C93" s="2" t="s">
        <v>266</v>
      </c>
      <c r="D93" t="s">
        <v>686</v>
      </c>
      <c r="E93" t="s">
        <v>1349</v>
      </c>
    </row>
    <row r="94" spans="1:5" x14ac:dyDescent="0.25">
      <c r="A94" s="2" t="s">
        <v>267</v>
      </c>
      <c r="B94" s="2" t="s">
        <v>268</v>
      </c>
      <c r="C94" s="2" t="s">
        <v>269</v>
      </c>
      <c r="D94" t="s">
        <v>686</v>
      </c>
      <c r="E94" t="s">
        <v>1349</v>
      </c>
    </row>
    <row r="95" spans="1:5" x14ac:dyDescent="0.25">
      <c r="A95" s="2" t="s">
        <v>270</v>
      </c>
      <c r="B95" s="2" t="s">
        <v>271</v>
      </c>
      <c r="C95" s="2" t="s">
        <v>272</v>
      </c>
      <c r="D95" t="s">
        <v>686</v>
      </c>
      <c r="E95" t="s">
        <v>1349</v>
      </c>
    </row>
    <row r="96" spans="1:5" x14ac:dyDescent="0.25">
      <c r="A96" s="2" t="s">
        <v>273</v>
      </c>
      <c r="B96" s="2" t="s">
        <v>274</v>
      </c>
      <c r="C96" s="2" t="s">
        <v>275</v>
      </c>
      <c r="D96" t="s">
        <v>653</v>
      </c>
      <c r="E96" t="s">
        <v>1348</v>
      </c>
    </row>
    <row r="97" spans="1:5" x14ac:dyDescent="0.25">
      <c r="A97" s="2" t="s">
        <v>276</v>
      </c>
      <c r="B97" s="2" t="s">
        <v>277</v>
      </c>
      <c r="C97" s="2" t="s">
        <v>278</v>
      </c>
      <c r="D97" t="s">
        <v>653</v>
      </c>
      <c r="E97" t="s">
        <v>1348</v>
      </c>
    </row>
    <row r="98" spans="1:5" x14ac:dyDescent="0.25">
      <c r="A98" s="2" t="s">
        <v>276</v>
      </c>
      <c r="B98" s="2" t="s">
        <v>279</v>
      </c>
      <c r="C98" s="2" t="s">
        <v>278</v>
      </c>
      <c r="D98" t="s">
        <v>653</v>
      </c>
      <c r="E98" t="s">
        <v>1348</v>
      </c>
    </row>
    <row r="99" spans="1:5" x14ac:dyDescent="0.25">
      <c r="A99" s="2" t="s">
        <v>280</v>
      </c>
      <c r="B99" s="2" t="s">
        <v>281</v>
      </c>
      <c r="C99" s="2" t="s">
        <v>282</v>
      </c>
      <c r="D99" t="s">
        <v>653</v>
      </c>
      <c r="E99" t="s">
        <v>1348</v>
      </c>
    </row>
    <row r="100" spans="1:5" x14ac:dyDescent="0.25">
      <c r="A100" s="2" t="s">
        <v>283</v>
      </c>
      <c r="B100" s="2" t="s">
        <v>284</v>
      </c>
      <c r="C100" s="2" t="s">
        <v>285</v>
      </c>
      <c r="D100" t="s">
        <v>653</v>
      </c>
      <c r="E100" t="s">
        <v>1348</v>
      </c>
    </row>
    <row r="101" spans="1:5" x14ac:dyDescent="0.25">
      <c r="A101" s="2" t="s">
        <v>286</v>
      </c>
      <c r="B101" s="2" t="s">
        <v>287</v>
      </c>
      <c r="C101" s="2" t="s">
        <v>288</v>
      </c>
      <c r="D101" t="s">
        <v>653</v>
      </c>
      <c r="E101" t="s">
        <v>1348</v>
      </c>
    </row>
    <row r="102" spans="1:5" x14ac:dyDescent="0.25">
      <c r="A102" s="2" t="s">
        <v>289</v>
      </c>
      <c r="B102" s="2" t="s">
        <v>290</v>
      </c>
      <c r="C102" s="2" t="s">
        <v>291</v>
      </c>
      <c r="D102" t="s">
        <v>653</v>
      </c>
      <c r="E102" t="s">
        <v>1348</v>
      </c>
    </row>
    <row r="103" spans="1:5" x14ac:dyDescent="0.25">
      <c r="A103" s="2" t="s">
        <v>292</v>
      </c>
      <c r="B103" s="2" t="s">
        <v>293</v>
      </c>
      <c r="C103" s="2" t="s">
        <v>294</v>
      </c>
      <c r="D103" t="s">
        <v>653</v>
      </c>
      <c r="E103" t="s">
        <v>1348</v>
      </c>
    </row>
    <row r="104" spans="1:5" x14ac:dyDescent="0.25">
      <c r="A104" s="2" t="s">
        <v>295</v>
      </c>
      <c r="B104" s="2" t="s">
        <v>296</v>
      </c>
      <c r="C104" s="2" t="s">
        <v>297</v>
      </c>
      <c r="D104" t="s">
        <v>627</v>
      </c>
      <c r="E104" t="s">
        <v>1347</v>
      </c>
    </row>
    <row r="105" spans="1:5" x14ac:dyDescent="0.25">
      <c r="A105" s="2" t="s">
        <v>298</v>
      </c>
      <c r="B105" s="2" t="s">
        <v>299</v>
      </c>
      <c r="C105" s="2" t="s">
        <v>300</v>
      </c>
      <c r="D105" t="s">
        <v>627</v>
      </c>
      <c r="E105" t="s">
        <v>1347</v>
      </c>
    </row>
    <row r="106" spans="1:5" x14ac:dyDescent="0.25">
      <c r="A106" s="2" t="s">
        <v>301</v>
      </c>
      <c r="B106" s="2" t="s">
        <v>302</v>
      </c>
      <c r="C106" s="2" t="s">
        <v>303</v>
      </c>
      <c r="D106" t="s">
        <v>627</v>
      </c>
      <c r="E106" t="s">
        <v>1347</v>
      </c>
    </row>
    <row r="107" spans="1:5" x14ac:dyDescent="0.25">
      <c r="A107" s="2" t="s">
        <v>304</v>
      </c>
      <c r="B107" s="2" t="s">
        <v>305</v>
      </c>
      <c r="C107" s="2" t="s">
        <v>306</v>
      </c>
      <c r="D107" t="s">
        <v>627</v>
      </c>
      <c r="E107" t="s">
        <v>1347</v>
      </c>
    </row>
    <row r="108" spans="1:5" x14ac:dyDescent="0.25">
      <c r="A108" s="2" t="s">
        <v>307</v>
      </c>
      <c r="B108" s="2" t="s">
        <v>308</v>
      </c>
      <c r="C108" s="2" t="s">
        <v>309</v>
      </c>
      <c r="D108" t="s">
        <v>627</v>
      </c>
      <c r="E108" t="s">
        <v>1347</v>
      </c>
    </row>
    <row r="109" spans="1:5" x14ac:dyDescent="0.25">
      <c r="A109" s="2" t="s">
        <v>310</v>
      </c>
      <c r="B109" s="2" t="s">
        <v>311</v>
      </c>
      <c r="C109" s="2" t="s">
        <v>312</v>
      </c>
      <c r="D109" t="s">
        <v>627</v>
      </c>
      <c r="E109" t="s">
        <v>1347</v>
      </c>
    </row>
    <row r="110" spans="1:5" x14ac:dyDescent="0.25">
      <c r="A110" s="2" t="s">
        <v>313</v>
      </c>
      <c r="B110" s="2" t="s">
        <v>314</v>
      </c>
      <c r="C110" s="2" t="s">
        <v>315</v>
      </c>
      <c r="D110" t="s">
        <v>627</v>
      </c>
      <c r="E110" t="s">
        <v>1347</v>
      </c>
    </row>
    <row r="111" spans="1:5" x14ac:dyDescent="0.25">
      <c r="A111" s="2" t="s">
        <v>316</v>
      </c>
      <c r="B111" s="2" t="s">
        <v>317</v>
      </c>
      <c r="C111" s="2" t="s">
        <v>318</v>
      </c>
      <c r="D111" t="s">
        <v>627</v>
      </c>
      <c r="E111" t="s">
        <v>1347</v>
      </c>
    </row>
    <row r="112" spans="1:5" x14ac:dyDescent="0.25">
      <c r="A112" s="2" t="s">
        <v>319</v>
      </c>
      <c r="B112" s="2" t="s">
        <v>320</v>
      </c>
      <c r="C112" s="2" t="s">
        <v>321</v>
      </c>
      <c r="D112" t="s">
        <v>649</v>
      </c>
      <c r="E112" t="s">
        <v>1346</v>
      </c>
    </row>
    <row r="113" spans="1:5" x14ac:dyDescent="0.25">
      <c r="A113" s="2" t="s">
        <v>322</v>
      </c>
      <c r="B113" s="2" t="s">
        <v>323</v>
      </c>
      <c r="C113" s="2" t="s">
        <v>324</v>
      </c>
      <c r="D113" t="s">
        <v>649</v>
      </c>
      <c r="E113" t="s">
        <v>1346</v>
      </c>
    </row>
    <row r="114" spans="1:5" x14ac:dyDescent="0.25">
      <c r="A114" s="2" t="s">
        <v>325</v>
      </c>
      <c r="B114" s="2" t="s">
        <v>326</v>
      </c>
      <c r="C114" s="2" t="s">
        <v>327</v>
      </c>
      <c r="D114" t="s">
        <v>649</v>
      </c>
      <c r="E114" t="s">
        <v>1346</v>
      </c>
    </row>
    <row r="115" spans="1:5" x14ac:dyDescent="0.25">
      <c r="A115" s="2" t="s">
        <v>328</v>
      </c>
      <c r="B115" s="2" t="s">
        <v>329</v>
      </c>
      <c r="C115" s="2" t="s">
        <v>330</v>
      </c>
      <c r="D115" t="s">
        <v>649</v>
      </c>
      <c r="E115" t="s">
        <v>1346</v>
      </c>
    </row>
    <row r="116" spans="1:5" x14ac:dyDescent="0.25">
      <c r="A116" s="2" t="s">
        <v>331</v>
      </c>
      <c r="B116" s="2" t="s">
        <v>332</v>
      </c>
      <c r="C116" s="2" t="s">
        <v>333</v>
      </c>
      <c r="D116" t="s">
        <v>642</v>
      </c>
      <c r="E116" t="s">
        <v>1336</v>
      </c>
    </row>
    <row r="117" spans="1:5" x14ac:dyDescent="0.25">
      <c r="A117" s="2" t="s">
        <v>1345</v>
      </c>
      <c r="B117" s="2" t="s">
        <v>1344</v>
      </c>
      <c r="C117" s="2" t="s">
        <v>1343</v>
      </c>
      <c r="D117" t="s">
        <v>642</v>
      </c>
      <c r="E117" t="s">
        <v>1336</v>
      </c>
    </row>
    <row r="118" spans="1:5" x14ac:dyDescent="0.25">
      <c r="A118" s="2" t="s">
        <v>334</v>
      </c>
      <c r="B118" s="2" t="s">
        <v>335</v>
      </c>
      <c r="C118" s="2" t="s">
        <v>336</v>
      </c>
      <c r="D118" t="s">
        <v>642</v>
      </c>
      <c r="E118" t="s">
        <v>1336</v>
      </c>
    </row>
    <row r="119" spans="1:5" x14ac:dyDescent="0.25">
      <c r="A119" s="2" t="s">
        <v>337</v>
      </c>
      <c r="B119" s="2" t="s">
        <v>338</v>
      </c>
      <c r="C119" s="2" t="s">
        <v>339</v>
      </c>
      <c r="D119" t="s">
        <v>642</v>
      </c>
      <c r="E119" t="s">
        <v>1336</v>
      </c>
    </row>
    <row r="120" spans="1:5" x14ac:dyDescent="0.25">
      <c r="A120" s="2" t="s">
        <v>340</v>
      </c>
      <c r="B120" s="2" t="s">
        <v>341</v>
      </c>
      <c r="C120" s="2" t="s">
        <v>342</v>
      </c>
      <c r="D120" t="s">
        <v>642</v>
      </c>
      <c r="E120" t="s">
        <v>1336</v>
      </c>
    </row>
    <row r="121" spans="1:5" x14ac:dyDescent="0.25">
      <c r="A121" s="2" t="s">
        <v>343</v>
      </c>
      <c r="B121" s="2" t="s">
        <v>344</v>
      </c>
      <c r="C121" s="2" t="s">
        <v>345</v>
      </c>
      <c r="D121" t="s">
        <v>642</v>
      </c>
      <c r="E121" t="s">
        <v>1336</v>
      </c>
    </row>
    <row r="122" spans="1:5" x14ac:dyDescent="0.25">
      <c r="A122" s="2" t="s">
        <v>346</v>
      </c>
      <c r="B122" s="2" t="s">
        <v>347</v>
      </c>
      <c r="C122" s="2" t="s">
        <v>348</v>
      </c>
      <c r="D122" t="s">
        <v>642</v>
      </c>
      <c r="E122" t="s">
        <v>1336</v>
      </c>
    </row>
    <row r="123" spans="1:5" x14ac:dyDescent="0.25">
      <c r="A123" s="2" t="s">
        <v>349</v>
      </c>
      <c r="B123" s="2" t="s">
        <v>350</v>
      </c>
      <c r="C123" s="2" t="s">
        <v>351</v>
      </c>
      <c r="D123" t="s">
        <v>642</v>
      </c>
      <c r="E123" t="s">
        <v>1336</v>
      </c>
    </row>
    <row r="124" spans="1:5" x14ac:dyDescent="0.25">
      <c r="A124" s="2" t="s">
        <v>352</v>
      </c>
      <c r="B124" s="2" t="s">
        <v>353</v>
      </c>
      <c r="C124" s="2" t="s">
        <v>354</v>
      </c>
      <c r="D124" t="s">
        <v>642</v>
      </c>
      <c r="E124" t="s">
        <v>1336</v>
      </c>
    </row>
    <row r="125" spans="1:5" x14ac:dyDescent="0.25">
      <c r="A125" s="2" t="s">
        <v>355</v>
      </c>
      <c r="B125" s="2" t="s">
        <v>356</v>
      </c>
      <c r="C125" s="2" t="s">
        <v>357</v>
      </c>
      <c r="D125" t="s">
        <v>642</v>
      </c>
      <c r="E125" t="s">
        <v>1336</v>
      </c>
    </row>
    <row r="126" spans="1:5" x14ac:dyDescent="0.25">
      <c r="A126" s="2" t="s">
        <v>358</v>
      </c>
      <c r="B126" s="2" t="s">
        <v>359</v>
      </c>
      <c r="C126" s="2" t="s">
        <v>360</v>
      </c>
      <c r="D126" t="s">
        <v>642</v>
      </c>
      <c r="E126" t="s">
        <v>1336</v>
      </c>
    </row>
    <row r="127" spans="1:5" x14ac:dyDescent="0.25">
      <c r="A127" s="2" t="s">
        <v>1342</v>
      </c>
      <c r="B127" s="2" t="s">
        <v>1341</v>
      </c>
      <c r="C127" s="2" t="s">
        <v>1340</v>
      </c>
      <c r="D127" t="s">
        <v>642</v>
      </c>
      <c r="E127" t="s">
        <v>1336</v>
      </c>
    </row>
    <row r="128" spans="1:5" x14ac:dyDescent="0.25">
      <c r="A128" s="2" t="s">
        <v>1339</v>
      </c>
      <c r="B128" s="2" t="s">
        <v>1338</v>
      </c>
      <c r="C128" s="2" t="s">
        <v>1337</v>
      </c>
      <c r="D128" t="s">
        <v>642</v>
      </c>
      <c r="E128" t="s">
        <v>1336</v>
      </c>
    </row>
    <row r="129" spans="1:5" x14ac:dyDescent="0.25">
      <c r="A129" s="2" t="s">
        <v>361</v>
      </c>
      <c r="B129" s="2" t="s">
        <v>362</v>
      </c>
      <c r="C129" s="2" t="s">
        <v>363</v>
      </c>
      <c r="D129" t="s">
        <v>639</v>
      </c>
      <c r="E129" t="s">
        <v>1335</v>
      </c>
    </row>
    <row r="130" spans="1:5" x14ac:dyDescent="0.25">
      <c r="A130" s="2" t="s">
        <v>364</v>
      </c>
      <c r="B130" s="2" t="s">
        <v>365</v>
      </c>
      <c r="C130" s="2" t="s">
        <v>366</v>
      </c>
      <c r="D130" t="s">
        <v>639</v>
      </c>
      <c r="E130" t="s">
        <v>1335</v>
      </c>
    </row>
    <row r="131" spans="1:5" x14ac:dyDescent="0.25">
      <c r="A131" s="2" t="s">
        <v>367</v>
      </c>
      <c r="B131" s="2" t="s">
        <v>368</v>
      </c>
      <c r="C131" s="2" t="s">
        <v>369</v>
      </c>
      <c r="D131" t="s">
        <v>639</v>
      </c>
      <c r="E131" t="s">
        <v>1335</v>
      </c>
    </row>
    <row r="132" spans="1:5" x14ac:dyDescent="0.25">
      <c r="A132" s="2" t="s">
        <v>370</v>
      </c>
      <c r="B132" s="2" t="s">
        <v>371</v>
      </c>
      <c r="C132" s="2" t="s">
        <v>372</v>
      </c>
      <c r="D132" t="s">
        <v>639</v>
      </c>
      <c r="E132" t="s">
        <v>1335</v>
      </c>
    </row>
    <row r="133" spans="1:5" x14ac:dyDescent="0.25">
      <c r="A133" s="2" t="s">
        <v>373</v>
      </c>
      <c r="B133" s="2" t="s">
        <v>374</v>
      </c>
      <c r="C133" s="2" t="s">
        <v>375</v>
      </c>
      <c r="D133" t="s">
        <v>639</v>
      </c>
      <c r="E133" t="s">
        <v>1335</v>
      </c>
    </row>
    <row r="134" spans="1:5" x14ac:dyDescent="0.25">
      <c r="A134" s="2" t="s">
        <v>376</v>
      </c>
      <c r="B134" s="2" t="s">
        <v>377</v>
      </c>
      <c r="C134" s="2" t="s">
        <v>378</v>
      </c>
      <c r="D134" t="s">
        <v>639</v>
      </c>
      <c r="E134" t="s">
        <v>1335</v>
      </c>
    </row>
    <row r="135" spans="1:5" x14ac:dyDescent="0.25">
      <c r="A135" s="2" t="s">
        <v>379</v>
      </c>
      <c r="B135" s="2" t="s">
        <v>380</v>
      </c>
      <c r="C135" s="2" t="s">
        <v>381</v>
      </c>
      <c r="D135" t="s">
        <v>639</v>
      </c>
      <c r="E135" t="s">
        <v>1335</v>
      </c>
    </row>
    <row r="136" spans="1:5" x14ac:dyDescent="0.25">
      <c r="A136" s="2" t="s">
        <v>382</v>
      </c>
      <c r="B136" s="2" t="s">
        <v>383</v>
      </c>
      <c r="C136" s="2" t="s">
        <v>384</v>
      </c>
      <c r="D136" t="s">
        <v>630</v>
      </c>
      <c r="E136" t="s">
        <v>1330</v>
      </c>
    </row>
    <row r="137" spans="1:5" x14ac:dyDescent="0.25">
      <c r="A137" s="2" t="s">
        <v>382</v>
      </c>
      <c r="B137" s="2" t="s">
        <v>1334</v>
      </c>
      <c r="C137" s="2" t="s">
        <v>384</v>
      </c>
      <c r="D137" t="s">
        <v>630</v>
      </c>
      <c r="E137" t="s">
        <v>1330</v>
      </c>
    </row>
    <row r="138" spans="1:5" x14ac:dyDescent="0.25">
      <c r="A138" s="2" t="s">
        <v>385</v>
      </c>
      <c r="B138" s="2" t="s">
        <v>386</v>
      </c>
      <c r="C138" s="2" t="s">
        <v>387</v>
      </c>
      <c r="D138" t="s">
        <v>630</v>
      </c>
      <c r="E138" t="s">
        <v>1330</v>
      </c>
    </row>
    <row r="139" spans="1:5" x14ac:dyDescent="0.25">
      <c r="A139" s="2" t="s">
        <v>388</v>
      </c>
      <c r="B139" s="2" t="s">
        <v>389</v>
      </c>
      <c r="C139" s="2" t="s">
        <v>390</v>
      </c>
      <c r="D139" t="s">
        <v>630</v>
      </c>
      <c r="E139" t="s">
        <v>1330</v>
      </c>
    </row>
    <row r="140" spans="1:5" x14ac:dyDescent="0.25">
      <c r="A140" s="2" t="s">
        <v>391</v>
      </c>
      <c r="B140" s="2" t="s">
        <v>392</v>
      </c>
      <c r="C140" s="2" t="s">
        <v>393</v>
      </c>
      <c r="D140" t="s">
        <v>630</v>
      </c>
      <c r="E140" t="s">
        <v>1330</v>
      </c>
    </row>
    <row r="141" spans="1:5" x14ac:dyDescent="0.25">
      <c r="A141" s="2" t="s">
        <v>394</v>
      </c>
      <c r="B141" s="2" t="s">
        <v>395</v>
      </c>
      <c r="C141" s="2" t="s">
        <v>396</v>
      </c>
      <c r="D141" t="s">
        <v>630</v>
      </c>
      <c r="E141" t="s">
        <v>1330</v>
      </c>
    </row>
    <row r="142" spans="1:5" x14ac:dyDescent="0.25">
      <c r="A142" s="2" t="s">
        <v>1333</v>
      </c>
      <c r="B142" s="2" t="s">
        <v>1332</v>
      </c>
      <c r="C142" s="2" t="s">
        <v>1331</v>
      </c>
      <c r="D142" t="s">
        <v>630</v>
      </c>
      <c r="E142" t="s">
        <v>1330</v>
      </c>
    </row>
    <row r="143" spans="1:5" x14ac:dyDescent="0.25">
      <c r="A143" s="2" t="s">
        <v>397</v>
      </c>
      <c r="B143" s="2" t="s">
        <v>398</v>
      </c>
      <c r="C143" s="2" t="s">
        <v>399</v>
      </c>
      <c r="D143" t="s">
        <v>667</v>
      </c>
      <c r="E143" t="s">
        <v>1329</v>
      </c>
    </row>
    <row r="144" spans="1:5" x14ac:dyDescent="0.25">
      <c r="A144" s="2" t="s">
        <v>400</v>
      </c>
      <c r="B144" s="2" t="s">
        <v>401</v>
      </c>
      <c r="C144" s="2" t="s">
        <v>402</v>
      </c>
      <c r="D144" t="s">
        <v>667</v>
      </c>
      <c r="E144" t="s">
        <v>1329</v>
      </c>
    </row>
    <row r="145" spans="1:5" x14ac:dyDescent="0.25">
      <c r="A145" s="2" t="s">
        <v>403</v>
      </c>
      <c r="B145" s="2" t="s">
        <v>404</v>
      </c>
      <c r="C145" s="2" t="s">
        <v>405</v>
      </c>
      <c r="D145" t="s">
        <v>667</v>
      </c>
      <c r="E145" t="s">
        <v>1329</v>
      </c>
    </row>
    <row r="146" spans="1:5" x14ac:dyDescent="0.25">
      <c r="A146" s="2" t="s">
        <v>406</v>
      </c>
      <c r="B146" s="2" t="s">
        <v>407</v>
      </c>
      <c r="C146" s="2" t="s">
        <v>408</v>
      </c>
      <c r="D146" t="s">
        <v>667</v>
      </c>
      <c r="E146" t="s">
        <v>1329</v>
      </c>
    </row>
    <row r="147" spans="1:5" x14ac:dyDescent="0.25">
      <c r="A147" s="2" t="s">
        <v>409</v>
      </c>
      <c r="B147" s="2" t="s">
        <v>410</v>
      </c>
      <c r="C147" s="2" t="s">
        <v>411</v>
      </c>
      <c r="D147" t="s">
        <v>713</v>
      </c>
      <c r="E147" t="s">
        <v>1325</v>
      </c>
    </row>
    <row r="148" spans="1:5" x14ac:dyDescent="0.25">
      <c r="A148" s="2" t="s">
        <v>412</v>
      </c>
      <c r="B148" s="2" t="s">
        <v>413</v>
      </c>
      <c r="C148" s="2" t="s">
        <v>414</v>
      </c>
      <c r="D148" t="s">
        <v>713</v>
      </c>
      <c r="E148" t="s">
        <v>1325</v>
      </c>
    </row>
    <row r="149" spans="1:5" x14ac:dyDescent="0.25">
      <c r="A149" s="2" t="s">
        <v>415</v>
      </c>
      <c r="B149" s="2" t="s">
        <v>416</v>
      </c>
      <c r="C149" s="2" t="s">
        <v>417</v>
      </c>
      <c r="D149" t="s">
        <v>713</v>
      </c>
      <c r="E149" t="s">
        <v>1325</v>
      </c>
    </row>
    <row r="150" spans="1:5" x14ac:dyDescent="0.25">
      <c r="A150" s="2" t="s">
        <v>418</v>
      </c>
      <c r="B150" s="2" t="s">
        <v>419</v>
      </c>
      <c r="C150" s="2" t="s">
        <v>420</v>
      </c>
      <c r="D150" t="s">
        <v>713</v>
      </c>
      <c r="E150" t="s">
        <v>1325</v>
      </c>
    </row>
    <row r="151" spans="1:5" x14ac:dyDescent="0.25">
      <c r="A151" s="2" t="s">
        <v>421</v>
      </c>
      <c r="B151" s="2" t="s">
        <v>422</v>
      </c>
      <c r="C151" s="2" t="s">
        <v>423</v>
      </c>
      <c r="D151" t="s">
        <v>713</v>
      </c>
      <c r="E151" t="s">
        <v>1325</v>
      </c>
    </row>
    <row r="152" spans="1:5" x14ac:dyDescent="0.25">
      <c r="A152" s="2" t="s">
        <v>424</v>
      </c>
      <c r="B152" s="2" t="s">
        <v>425</v>
      </c>
      <c r="C152" s="2" t="s">
        <v>426</v>
      </c>
      <c r="D152" t="s">
        <v>713</v>
      </c>
      <c r="E152" t="s">
        <v>1325</v>
      </c>
    </row>
    <row r="153" spans="1:5" x14ac:dyDescent="0.25">
      <c r="A153" s="2" t="s">
        <v>427</v>
      </c>
      <c r="B153" s="2" t="s">
        <v>428</v>
      </c>
      <c r="C153" s="2" t="s">
        <v>429</v>
      </c>
      <c r="D153" t="s">
        <v>713</v>
      </c>
      <c r="E153" t="s">
        <v>1325</v>
      </c>
    </row>
    <row r="154" spans="1:5" x14ac:dyDescent="0.25">
      <c r="A154" s="2" t="s">
        <v>430</v>
      </c>
      <c r="B154" s="2" t="s">
        <v>431</v>
      </c>
      <c r="C154" s="2" t="s">
        <v>432</v>
      </c>
      <c r="D154" t="s">
        <v>713</v>
      </c>
      <c r="E154" t="s">
        <v>1325</v>
      </c>
    </row>
    <row r="155" spans="1:5" x14ac:dyDescent="0.25">
      <c r="A155" s="2" t="s">
        <v>1328</v>
      </c>
      <c r="B155" s="2" t="s">
        <v>1327</v>
      </c>
      <c r="C155" s="2" t="s">
        <v>1326</v>
      </c>
      <c r="D155" t="s">
        <v>713</v>
      </c>
      <c r="E155" t="s">
        <v>1325</v>
      </c>
    </row>
    <row r="156" spans="1:5" x14ac:dyDescent="0.25">
      <c r="A156" s="2" t="s">
        <v>433</v>
      </c>
      <c r="B156" s="2" t="s">
        <v>434</v>
      </c>
      <c r="C156" s="2" t="s">
        <v>435</v>
      </c>
      <c r="D156" t="s">
        <v>713</v>
      </c>
      <c r="E156" t="s">
        <v>1325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9D40-C218-45A3-B720-26D02DA0A49C}">
  <dimension ref="A1:N851"/>
  <sheetViews>
    <sheetView topLeftCell="A788" workbookViewId="0">
      <selection activeCell="D851" sqref="D819:D851"/>
    </sheetView>
  </sheetViews>
  <sheetFormatPr defaultColWidth="8.85546875" defaultRowHeight="15" x14ac:dyDescent="0.25"/>
  <cols>
    <col min="1" max="1" width="6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436</v>
      </c>
    </row>
    <row r="2" spans="1:4" x14ac:dyDescent="0.25">
      <c r="A2" t="s">
        <v>3</v>
      </c>
      <c r="B2" t="s">
        <v>4</v>
      </c>
      <c r="C2" t="s">
        <v>5</v>
      </c>
      <c r="D2" t="s">
        <v>437</v>
      </c>
    </row>
    <row r="3" spans="1:4" x14ac:dyDescent="0.25">
      <c r="D3" t="s">
        <v>438</v>
      </c>
    </row>
    <row r="4" spans="1:4" x14ac:dyDescent="0.25">
      <c r="A4" t="s">
        <v>6</v>
      </c>
      <c r="B4" t="s">
        <v>7</v>
      </c>
      <c r="C4" t="s">
        <v>8</v>
      </c>
      <c r="D4" t="s">
        <v>439</v>
      </c>
    </row>
    <row r="5" spans="1:4" x14ac:dyDescent="0.25">
      <c r="D5" t="s">
        <v>440</v>
      </c>
    </row>
    <row r="6" spans="1:4" x14ac:dyDescent="0.25">
      <c r="A6" t="s">
        <v>9</v>
      </c>
      <c r="B6" t="s">
        <v>10</v>
      </c>
      <c r="C6" t="s">
        <v>11</v>
      </c>
      <c r="D6" t="s">
        <v>441</v>
      </c>
    </row>
    <row r="7" spans="1:4" x14ac:dyDescent="0.25">
      <c r="A7" t="s">
        <v>12</v>
      </c>
      <c r="B7" t="s">
        <v>13</v>
      </c>
      <c r="C7" t="s">
        <v>14</v>
      </c>
      <c r="D7" t="s">
        <v>442</v>
      </c>
    </row>
    <row r="8" spans="1:4" x14ac:dyDescent="0.25">
      <c r="D8" t="s">
        <v>437</v>
      </c>
    </row>
    <row r="9" spans="1:4" x14ac:dyDescent="0.25">
      <c r="D9" t="s">
        <v>441</v>
      </c>
    </row>
    <row r="10" spans="1:4" x14ac:dyDescent="0.25">
      <c r="D10" t="s">
        <v>443</v>
      </c>
    </row>
    <row r="11" spans="1:4" x14ac:dyDescent="0.25">
      <c r="D11" t="s">
        <v>444</v>
      </c>
    </row>
    <row r="12" spans="1:4" x14ac:dyDescent="0.25">
      <c r="D12" t="s">
        <v>440</v>
      </c>
    </row>
    <row r="13" spans="1:4" x14ac:dyDescent="0.25">
      <c r="D13" t="s">
        <v>445</v>
      </c>
    </row>
    <row r="14" spans="1:4" x14ac:dyDescent="0.25">
      <c r="D14" t="s">
        <v>446</v>
      </c>
    </row>
    <row r="15" spans="1:4" x14ac:dyDescent="0.25">
      <c r="D15" t="s">
        <v>447</v>
      </c>
    </row>
    <row r="16" spans="1:4" x14ac:dyDescent="0.25">
      <c r="D16" t="s">
        <v>448</v>
      </c>
    </row>
    <row r="17" spans="1:4" x14ac:dyDescent="0.25">
      <c r="D17" t="s">
        <v>449</v>
      </c>
    </row>
    <row r="18" spans="1:4" x14ac:dyDescent="0.25">
      <c r="D18" t="s">
        <v>450</v>
      </c>
    </row>
    <row r="19" spans="1:4" x14ac:dyDescent="0.25">
      <c r="D19" t="s">
        <v>439</v>
      </c>
    </row>
    <row r="20" spans="1:4" x14ac:dyDescent="0.25">
      <c r="D20" t="s">
        <v>451</v>
      </c>
    </row>
    <row r="21" spans="1:4" x14ac:dyDescent="0.25">
      <c r="D21" t="s">
        <v>452</v>
      </c>
    </row>
    <row r="22" spans="1:4" x14ac:dyDescent="0.25">
      <c r="D22" t="s">
        <v>453</v>
      </c>
    </row>
    <row r="23" spans="1:4" x14ac:dyDescent="0.25">
      <c r="D23" t="s">
        <v>454</v>
      </c>
    </row>
    <row r="24" spans="1:4" x14ac:dyDescent="0.25">
      <c r="D24" t="s">
        <v>455</v>
      </c>
    </row>
    <row r="25" spans="1:4" x14ac:dyDescent="0.25">
      <c r="D25" t="s">
        <v>456</v>
      </c>
    </row>
    <row r="26" spans="1:4" x14ac:dyDescent="0.25">
      <c r="D26" t="s">
        <v>457</v>
      </c>
    </row>
    <row r="27" spans="1:4" x14ac:dyDescent="0.25">
      <c r="D27" t="s">
        <v>458</v>
      </c>
    </row>
    <row r="28" spans="1:4" x14ac:dyDescent="0.25">
      <c r="D28" t="s">
        <v>459</v>
      </c>
    </row>
    <row r="29" spans="1:4" x14ac:dyDescent="0.25">
      <c r="A29" t="s">
        <v>15</v>
      </c>
      <c r="B29" t="s">
        <v>16</v>
      </c>
      <c r="C29" t="s">
        <v>17</v>
      </c>
      <c r="D29" t="s">
        <v>456</v>
      </c>
    </row>
    <row r="30" spans="1:4" x14ac:dyDescent="0.25">
      <c r="A30" t="s">
        <v>18</v>
      </c>
      <c r="B30" t="s">
        <v>19</v>
      </c>
      <c r="C30" t="s">
        <v>20</v>
      </c>
      <c r="D30" t="s">
        <v>446</v>
      </c>
    </row>
    <row r="31" spans="1:4" x14ac:dyDescent="0.25">
      <c r="D31" t="s">
        <v>448</v>
      </c>
    </row>
    <row r="32" spans="1:4" x14ac:dyDescent="0.25">
      <c r="D32" t="s">
        <v>460</v>
      </c>
    </row>
    <row r="33" spans="1:4" x14ac:dyDescent="0.25">
      <c r="D33" t="s">
        <v>461</v>
      </c>
    </row>
    <row r="34" spans="1:4" x14ac:dyDescent="0.25">
      <c r="D34" t="s">
        <v>456</v>
      </c>
    </row>
    <row r="35" spans="1:4" x14ac:dyDescent="0.25">
      <c r="D35" t="s">
        <v>451</v>
      </c>
    </row>
    <row r="36" spans="1:4" x14ac:dyDescent="0.25">
      <c r="A36" t="s">
        <v>21</v>
      </c>
      <c r="B36" t="s">
        <v>22</v>
      </c>
      <c r="C36" t="s">
        <v>23</v>
      </c>
      <c r="D36" t="s">
        <v>443</v>
      </c>
    </row>
    <row r="37" spans="1:4" x14ac:dyDescent="0.25">
      <c r="A37" t="s">
        <v>24</v>
      </c>
      <c r="B37" t="s">
        <v>25</v>
      </c>
      <c r="C37" t="s">
        <v>26</v>
      </c>
      <c r="D37" t="s">
        <v>449</v>
      </c>
    </row>
    <row r="38" spans="1:4" x14ac:dyDescent="0.25">
      <c r="D38" t="s">
        <v>446</v>
      </c>
    </row>
    <row r="39" spans="1:4" x14ac:dyDescent="0.25">
      <c r="A39" t="s">
        <v>27</v>
      </c>
      <c r="B39" t="s">
        <v>28</v>
      </c>
      <c r="C39" t="s">
        <v>29</v>
      </c>
      <c r="D39" t="s">
        <v>458</v>
      </c>
    </row>
    <row r="40" spans="1:4" x14ac:dyDescent="0.25">
      <c r="A40" t="s">
        <v>30</v>
      </c>
      <c r="B40" t="s">
        <v>31</v>
      </c>
      <c r="C40" t="s">
        <v>32</v>
      </c>
      <c r="D40" t="s">
        <v>462</v>
      </c>
    </row>
    <row r="41" spans="1:4" x14ac:dyDescent="0.25">
      <c r="A41" t="s">
        <v>33</v>
      </c>
      <c r="B41" t="s">
        <v>34</v>
      </c>
      <c r="C41" t="s">
        <v>35</v>
      </c>
      <c r="D41" t="s">
        <v>450</v>
      </c>
    </row>
    <row r="42" spans="1:4" x14ac:dyDescent="0.25">
      <c r="D42" t="s">
        <v>463</v>
      </c>
    </row>
    <row r="43" spans="1:4" x14ac:dyDescent="0.25">
      <c r="D43" t="s">
        <v>458</v>
      </c>
    </row>
    <row r="44" spans="1:4" x14ac:dyDescent="0.25">
      <c r="A44" t="s">
        <v>36</v>
      </c>
      <c r="B44" t="s">
        <v>37</v>
      </c>
      <c r="C44" t="s">
        <v>38</v>
      </c>
      <c r="D44" t="s">
        <v>464</v>
      </c>
    </row>
    <row r="45" spans="1:4" x14ac:dyDescent="0.25">
      <c r="A45" t="s">
        <v>39</v>
      </c>
      <c r="B45" t="s">
        <v>40</v>
      </c>
      <c r="C45" t="s">
        <v>41</v>
      </c>
      <c r="D45" t="s">
        <v>448</v>
      </c>
    </row>
    <row r="46" spans="1:4" x14ac:dyDescent="0.25">
      <c r="A46" t="s">
        <v>42</v>
      </c>
      <c r="B46" t="s">
        <v>43</v>
      </c>
      <c r="C46" t="s">
        <v>44</v>
      </c>
      <c r="D46" t="s">
        <v>465</v>
      </c>
    </row>
    <row r="47" spans="1:4" x14ac:dyDescent="0.25">
      <c r="D47" t="s">
        <v>459</v>
      </c>
    </row>
    <row r="48" spans="1:4" x14ac:dyDescent="0.25">
      <c r="A48" t="s">
        <v>45</v>
      </c>
      <c r="B48" t="s">
        <v>46</v>
      </c>
      <c r="C48" t="s">
        <v>47</v>
      </c>
      <c r="D48" t="s">
        <v>463</v>
      </c>
    </row>
    <row r="49" spans="1:4" x14ac:dyDescent="0.25">
      <c r="A49" t="s">
        <v>48</v>
      </c>
      <c r="B49" t="s">
        <v>49</v>
      </c>
      <c r="C49" t="s">
        <v>50</v>
      </c>
      <c r="D49" t="s">
        <v>444</v>
      </c>
    </row>
    <row r="50" spans="1:4" x14ac:dyDescent="0.25">
      <c r="A50" t="s">
        <v>51</v>
      </c>
      <c r="B50" t="s">
        <v>52</v>
      </c>
      <c r="C50" t="s">
        <v>53</v>
      </c>
      <c r="D50" t="s">
        <v>447</v>
      </c>
    </row>
    <row r="51" spans="1:4" x14ac:dyDescent="0.25">
      <c r="D51" t="s">
        <v>466</v>
      </c>
    </row>
    <row r="52" spans="1:4" x14ac:dyDescent="0.25">
      <c r="A52" t="s">
        <v>54</v>
      </c>
      <c r="B52" t="s">
        <v>55</v>
      </c>
      <c r="C52" t="s">
        <v>56</v>
      </c>
      <c r="D52" t="s">
        <v>467</v>
      </c>
    </row>
    <row r="53" spans="1:4" x14ac:dyDescent="0.25">
      <c r="D53" t="s">
        <v>468</v>
      </c>
    </row>
    <row r="54" spans="1:4" x14ac:dyDescent="0.25">
      <c r="D54" t="s">
        <v>469</v>
      </c>
    </row>
    <row r="55" spans="1:4" x14ac:dyDescent="0.25">
      <c r="D55" t="s">
        <v>470</v>
      </c>
    </row>
    <row r="56" spans="1:4" x14ac:dyDescent="0.25">
      <c r="D56" t="s">
        <v>471</v>
      </c>
    </row>
    <row r="57" spans="1:4" x14ac:dyDescent="0.25">
      <c r="D57" t="s">
        <v>452</v>
      </c>
    </row>
    <row r="58" spans="1:4" x14ac:dyDescent="0.25">
      <c r="D58" t="s">
        <v>457</v>
      </c>
    </row>
    <row r="59" spans="1:4" x14ac:dyDescent="0.25">
      <c r="D59" t="s">
        <v>472</v>
      </c>
    </row>
    <row r="60" spans="1:4" x14ac:dyDescent="0.25">
      <c r="D60" t="s">
        <v>473</v>
      </c>
    </row>
    <row r="61" spans="1:4" x14ac:dyDescent="0.25">
      <c r="A61" t="s">
        <v>57</v>
      </c>
      <c r="B61" t="s">
        <v>58</v>
      </c>
      <c r="C61" t="s">
        <v>59</v>
      </c>
      <c r="D61" t="s">
        <v>474</v>
      </c>
    </row>
    <row r="62" spans="1:4" x14ac:dyDescent="0.25">
      <c r="D62" t="s">
        <v>475</v>
      </c>
    </row>
    <row r="63" spans="1:4" x14ac:dyDescent="0.25">
      <c r="D63" t="s">
        <v>447</v>
      </c>
    </row>
    <row r="64" spans="1:4" x14ac:dyDescent="0.25">
      <c r="D64" t="s">
        <v>476</v>
      </c>
    </row>
    <row r="65" spans="1:4" x14ac:dyDescent="0.25">
      <c r="A65" t="s">
        <v>60</v>
      </c>
      <c r="B65" t="s">
        <v>61</v>
      </c>
      <c r="C65" t="s">
        <v>62</v>
      </c>
      <c r="D65" t="s">
        <v>477</v>
      </c>
    </row>
    <row r="66" spans="1:4" x14ac:dyDescent="0.25">
      <c r="D66" t="s">
        <v>473</v>
      </c>
    </row>
    <row r="67" spans="1:4" x14ac:dyDescent="0.25">
      <c r="A67" t="s">
        <v>63</v>
      </c>
      <c r="B67" t="s">
        <v>64</v>
      </c>
      <c r="C67" t="s">
        <v>65</v>
      </c>
      <c r="D67" t="s">
        <v>478</v>
      </c>
    </row>
    <row r="68" spans="1:4" x14ac:dyDescent="0.25">
      <c r="A68" t="s">
        <v>66</v>
      </c>
      <c r="B68" t="s">
        <v>67</v>
      </c>
      <c r="C68" t="s">
        <v>68</v>
      </c>
      <c r="D68" t="s">
        <v>479</v>
      </c>
    </row>
    <row r="69" spans="1:4" x14ac:dyDescent="0.25">
      <c r="D69" t="s">
        <v>468</v>
      </c>
    </row>
    <row r="70" spans="1:4" x14ac:dyDescent="0.25">
      <c r="D70" t="s">
        <v>476</v>
      </c>
    </row>
    <row r="71" spans="1:4" x14ac:dyDescent="0.25">
      <c r="D71" t="s">
        <v>475</v>
      </c>
    </row>
    <row r="72" spans="1:4" x14ac:dyDescent="0.25">
      <c r="D72" t="s">
        <v>447</v>
      </c>
    </row>
    <row r="73" spans="1:4" x14ac:dyDescent="0.25">
      <c r="D73" t="s">
        <v>478</v>
      </c>
    </row>
    <row r="74" spans="1:4" x14ac:dyDescent="0.25">
      <c r="D74" t="s">
        <v>466</v>
      </c>
    </row>
    <row r="75" spans="1:4" x14ac:dyDescent="0.25">
      <c r="D75" t="s">
        <v>452</v>
      </c>
    </row>
    <row r="76" spans="1:4" x14ac:dyDescent="0.25">
      <c r="D76" t="s">
        <v>480</v>
      </c>
    </row>
    <row r="77" spans="1:4" x14ac:dyDescent="0.25">
      <c r="D77" t="s">
        <v>455</v>
      </c>
    </row>
    <row r="78" spans="1:4" x14ac:dyDescent="0.25">
      <c r="D78" t="s">
        <v>457</v>
      </c>
    </row>
    <row r="79" spans="1:4" x14ac:dyDescent="0.25">
      <c r="D79" t="s">
        <v>481</v>
      </c>
    </row>
    <row r="80" spans="1:4" x14ac:dyDescent="0.25">
      <c r="D80" t="s">
        <v>474</v>
      </c>
    </row>
    <row r="81" spans="1:4" x14ac:dyDescent="0.25">
      <c r="D81" t="s">
        <v>482</v>
      </c>
    </row>
    <row r="82" spans="1:4" x14ac:dyDescent="0.25">
      <c r="D82" t="s">
        <v>472</v>
      </c>
    </row>
    <row r="83" spans="1:4" x14ac:dyDescent="0.25">
      <c r="D83" t="s">
        <v>473</v>
      </c>
    </row>
    <row r="84" spans="1:4" x14ac:dyDescent="0.25">
      <c r="A84" t="s">
        <v>69</v>
      </c>
      <c r="B84" t="s">
        <v>70</v>
      </c>
      <c r="C84" t="s">
        <v>71</v>
      </c>
      <c r="D84" t="s">
        <v>455</v>
      </c>
    </row>
    <row r="85" spans="1:4" x14ac:dyDescent="0.25">
      <c r="A85" t="s">
        <v>72</v>
      </c>
      <c r="B85" t="s">
        <v>73</v>
      </c>
      <c r="C85" t="s">
        <v>74</v>
      </c>
      <c r="D85" t="s">
        <v>483</v>
      </c>
    </row>
    <row r="86" spans="1:4" x14ac:dyDescent="0.25">
      <c r="D86" t="s">
        <v>468</v>
      </c>
    </row>
    <row r="87" spans="1:4" x14ac:dyDescent="0.25">
      <c r="D87" t="s">
        <v>455</v>
      </c>
    </row>
    <row r="88" spans="1:4" x14ac:dyDescent="0.25">
      <c r="D88" t="s">
        <v>484</v>
      </c>
    </row>
    <row r="89" spans="1:4" x14ac:dyDescent="0.25">
      <c r="A89" t="s">
        <v>75</v>
      </c>
      <c r="B89" t="s">
        <v>76</v>
      </c>
      <c r="C89" t="s">
        <v>77</v>
      </c>
      <c r="D89" t="s">
        <v>477</v>
      </c>
    </row>
    <row r="90" spans="1:4" x14ac:dyDescent="0.25">
      <c r="D90" t="s">
        <v>478</v>
      </c>
    </row>
    <row r="91" spans="1:4" x14ac:dyDescent="0.25">
      <c r="D91" t="s">
        <v>485</v>
      </c>
    </row>
    <row r="92" spans="1:4" x14ac:dyDescent="0.25">
      <c r="D92" t="s">
        <v>457</v>
      </c>
    </row>
    <row r="93" spans="1:4" x14ac:dyDescent="0.25">
      <c r="D93" t="s">
        <v>481</v>
      </c>
    </row>
    <row r="94" spans="1:4" x14ac:dyDescent="0.25">
      <c r="D94" t="s">
        <v>472</v>
      </c>
    </row>
    <row r="95" spans="1:4" x14ac:dyDescent="0.25">
      <c r="A95" t="s">
        <v>78</v>
      </c>
      <c r="B95" t="s">
        <v>79</v>
      </c>
      <c r="C95" t="s">
        <v>80</v>
      </c>
      <c r="D95" t="s">
        <v>486</v>
      </c>
    </row>
    <row r="96" spans="1:4" x14ac:dyDescent="0.25">
      <c r="D96" t="s">
        <v>478</v>
      </c>
    </row>
    <row r="97" spans="1:7" x14ac:dyDescent="0.25">
      <c r="D97" t="s">
        <v>457</v>
      </c>
    </row>
    <row r="98" spans="1:7" x14ac:dyDescent="0.25">
      <c r="D98" t="s">
        <v>481</v>
      </c>
    </row>
    <row r="99" spans="1:7" x14ac:dyDescent="0.25">
      <c r="D99" t="s">
        <v>472</v>
      </c>
    </row>
    <row r="100" spans="1:7" x14ac:dyDescent="0.25">
      <c r="A100" t="s">
        <v>81</v>
      </c>
      <c r="B100" t="s">
        <v>82</v>
      </c>
      <c r="C100" t="s">
        <v>83</v>
      </c>
      <c r="D100" t="s">
        <v>452</v>
      </c>
    </row>
    <row r="101" spans="1:7" x14ac:dyDescent="0.25">
      <c r="A101" t="s">
        <v>84</v>
      </c>
      <c r="B101" t="s">
        <v>85</v>
      </c>
      <c r="C101" t="s">
        <v>86</v>
      </c>
      <c r="D101" t="s">
        <v>437</v>
      </c>
    </row>
    <row r="102" spans="1:7" x14ac:dyDescent="0.25">
      <c r="D102" t="s">
        <v>487</v>
      </c>
    </row>
    <row r="103" spans="1:7" x14ac:dyDescent="0.25">
      <c r="D103" t="s">
        <v>475</v>
      </c>
    </row>
    <row r="104" spans="1:7" x14ac:dyDescent="0.25">
      <c r="D104" t="s">
        <v>449</v>
      </c>
    </row>
    <row r="105" spans="1:7" x14ac:dyDescent="0.25">
      <c r="D105" t="s">
        <v>488</v>
      </c>
    </row>
    <row r="106" spans="1:7" x14ac:dyDescent="0.25">
      <c r="D106" t="s">
        <v>474</v>
      </c>
    </row>
    <row r="107" spans="1:7" x14ac:dyDescent="0.25">
      <c r="A107" t="s">
        <v>87</v>
      </c>
      <c r="B107" t="s">
        <v>88</v>
      </c>
      <c r="C107" t="s">
        <v>89</v>
      </c>
      <c r="D107" t="s">
        <v>483</v>
      </c>
      <c r="F107" t="s">
        <v>483</v>
      </c>
      <c r="G107">
        <v>2018</v>
      </c>
    </row>
    <row r="108" spans="1:7" x14ac:dyDescent="0.25">
      <c r="D108" t="s">
        <v>464</v>
      </c>
      <c r="F108" t="s">
        <v>464</v>
      </c>
    </row>
    <row r="109" spans="1:7" x14ac:dyDescent="0.25">
      <c r="D109" t="s">
        <v>447</v>
      </c>
      <c r="F109" t="s">
        <v>468</v>
      </c>
    </row>
    <row r="110" spans="1:7" x14ac:dyDescent="0.25">
      <c r="D110" t="s">
        <v>466</v>
      </c>
      <c r="F110" t="s">
        <v>466</v>
      </c>
    </row>
    <row r="111" spans="1:7" x14ac:dyDescent="0.25">
      <c r="D111" t="s">
        <v>452</v>
      </c>
      <c r="F111" t="s">
        <v>455</v>
      </c>
    </row>
    <row r="112" spans="1:7" x14ac:dyDescent="0.25">
      <c r="D112" t="s">
        <v>457</v>
      </c>
      <c r="F112" t="s">
        <v>457</v>
      </c>
    </row>
    <row r="113" spans="1:4" x14ac:dyDescent="0.25">
      <c r="D113" t="s">
        <v>438</v>
      </c>
    </row>
    <row r="114" spans="1:4" x14ac:dyDescent="0.25">
      <c r="A114" t="s">
        <v>90</v>
      </c>
      <c r="B114" t="s">
        <v>91</v>
      </c>
      <c r="C114" t="s">
        <v>92</v>
      </c>
      <c r="D114" t="s">
        <v>479</v>
      </c>
    </row>
    <row r="115" spans="1:4" x14ac:dyDescent="0.25">
      <c r="D115" t="s">
        <v>468</v>
      </c>
    </row>
    <row r="116" spans="1:4" x14ac:dyDescent="0.25">
      <c r="D116" t="s">
        <v>476</v>
      </c>
    </row>
    <row r="117" spans="1:4" x14ac:dyDescent="0.25">
      <c r="D117" t="s">
        <v>475</v>
      </c>
    </row>
    <row r="118" spans="1:4" x14ac:dyDescent="0.25">
      <c r="D118" t="s">
        <v>447</v>
      </c>
    </row>
    <row r="119" spans="1:4" x14ac:dyDescent="0.25">
      <c r="D119" t="s">
        <v>478</v>
      </c>
    </row>
    <row r="120" spans="1:4" x14ac:dyDescent="0.25">
      <c r="D120" t="s">
        <v>466</v>
      </c>
    </row>
    <row r="121" spans="1:4" x14ac:dyDescent="0.25">
      <c r="D121" t="s">
        <v>452</v>
      </c>
    </row>
    <row r="122" spans="1:4" x14ac:dyDescent="0.25">
      <c r="D122" t="s">
        <v>480</v>
      </c>
    </row>
    <row r="123" spans="1:4" x14ac:dyDescent="0.25">
      <c r="D123" t="s">
        <v>455</v>
      </c>
    </row>
    <row r="124" spans="1:4" x14ac:dyDescent="0.25">
      <c r="D124" t="s">
        <v>457</v>
      </c>
    </row>
    <row r="125" spans="1:4" x14ac:dyDescent="0.25">
      <c r="D125" t="s">
        <v>481</v>
      </c>
    </row>
    <row r="126" spans="1:4" x14ac:dyDescent="0.25">
      <c r="D126" t="s">
        <v>474</v>
      </c>
    </row>
    <row r="127" spans="1:4" x14ac:dyDescent="0.25">
      <c r="D127" t="s">
        <v>482</v>
      </c>
    </row>
    <row r="128" spans="1:4" x14ac:dyDescent="0.25">
      <c r="D128" t="s">
        <v>472</v>
      </c>
    </row>
    <row r="129" spans="1:4" x14ac:dyDescent="0.25">
      <c r="D129" t="s">
        <v>473</v>
      </c>
    </row>
    <row r="130" spans="1:4" x14ac:dyDescent="0.25">
      <c r="A130" t="s">
        <v>93</v>
      </c>
      <c r="B130" t="s">
        <v>94</v>
      </c>
      <c r="C130" t="s">
        <v>95</v>
      </c>
      <c r="D130" t="s">
        <v>489</v>
      </c>
    </row>
    <row r="131" spans="1:4" x14ac:dyDescent="0.25">
      <c r="D131" t="s">
        <v>490</v>
      </c>
    </row>
    <row r="132" spans="1:4" x14ac:dyDescent="0.25">
      <c r="D132" t="s">
        <v>491</v>
      </c>
    </row>
    <row r="133" spans="1:4" x14ac:dyDescent="0.25">
      <c r="A133" t="s">
        <v>96</v>
      </c>
      <c r="B133" t="s">
        <v>97</v>
      </c>
      <c r="C133" t="s">
        <v>98</v>
      </c>
      <c r="D133" t="s">
        <v>492</v>
      </c>
    </row>
    <row r="134" spans="1:4" x14ac:dyDescent="0.25">
      <c r="D134" t="s">
        <v>493</v>
      </c>
    </row>
    <row r="135" spans="1:4" x14ac:dyDescent="0.25">
      <c r="D135" t="s">
        <v>453</v>
      </c>
    </row>
    <row r="136" spans="1:4" x14ac:dyDescent="0.25">
      <c r="D136" t="s">
        <v>488</v>
      </c>
    </row>
    <row r="137" spans="1:4" x14ac:dyDescent="0.25">
      <c r="D137" t="s">
        <v>494</v>
      </c>
    </row>
    <row r="138" spans="1:4" x14ac:dyDescent="0.25">
      <c r="D138" t="s">
        <v>495</v>
      </c>
    </row>
    <row r="139" spans="1:4" x14ac:dyDescent="0.25">
      <c r="D139" t="s">
        <v>482</v>
      </c>
    </row>
    <row r="140" spans="1:4" x14ac:dyDescent="0.25">
      <c r="A140" t="s">
        <v>99</v>
      </c>
      <c r="B140" t="s">
        <v>100</v>
      </c>
      <c r="C140" t="s">
        <v>101</v>
      </c>
      <c r="D140" t="s">
        <v>496</v>
      </c>
    </row>
    <row r="141" spans="1:4" x14ac:dyDescent="0.25">
      <c r="D141" t="s">
        <v>497</v>
      </c>
    </row>
    <row r="142" spans="1:4" x14ac:dyDescent="0.25">
      <c r="D142" t="s">
        <v>498</v>
      </c>
    </row>
    <row r="143" spans="1:4" x14ac:dyDescent="0.25">
      <c r="D143" t="s">
        <v>499</v>
      </c>
    </row>
    <row r="144" spans="1:4" x14ac:dyDescent="0.25">
      <c r="D144" t="s">
        <v>500</v>
      </c>
    </row>
    <row r="145" spans="1:11" x14ac:dyDescent="0.25">
      <c r="D145" t="s">
        <v>493</v>
      </c>
    </row>
    <row r="146" spans="1:11" x14ac:dyDescent="0.25">
      <c r="D146" t="s">
        <v>501</v>
      </c>
    </row>
    <row r="147" spans="1:11" x14ac:dyDescent="0.25">
      <c r="D147" t="s">
        <v>502</v>
      </c>
    </row>
    <row r="148" spans="1:11" x14ac:dyDescent="0.25">
      <c r="D148" t="s">
        <v>503</v>
      </c>
    </row>
    <row r="149" spans="1:11" x14ac:dyDescent="0.25">
      <c r="D149" t="s">
        <v>495</v>
      </c>
    </row>
    <row r="150" spans="1:11" x14ac:dyDescent="0.25">
      <c r="D150" t="s">
        <v>504</v>
      </c>
    </row>
    <row r="151" spans="1:11" x14ac:dyDescent="0.25">
      <c r="D151" t="s">
        <v>482</v>
      </c>
    </row>
    <row r="152" spans="1:11" x14ac:dyDescent="0.25">
      <c r="D152" t="s">
        <v>505</v>
      </c>
    </row>
    <row r="153" spans="1:11" x14ac:dyDescent="0.25">
      <c r="D153" t="s">
        <v>506</v>
      </c>
    </row>
    <row r="154" spans="1:11" x14ac:dyDescent="0.25">
      <c r="A154" t="s">
        <v>102</v>
      </c>
      <c r="B154" t="s">
        <v>103</v>
      </c>
      <c r="C154" t="s">
        <v>104</v>
      </c>
      <c r="D154" t="s">
        <v>496</v>
      </c>
      <c r="G154">
        <v>2019</v>
      </c>
      <c r="H154" t="s">
        <v>496</v>
      </c>
      <c r="J154">
        <v>2022</v>
      </c>
      <c r="K154" t="s">
        <v>496</v>
      </c>
    </row>
    <row r="155" spans="1:11" x14ac:dyDescent="0.25">
      <c r="D155" t="s">
        <v>497</v>
      </c>
      <c r="H155" t="s">
        <v>497</v>
      </c>
      <c r="K155" t="s">
        <v>507</v>
      </c>
    </row>
    <row r="156" spans="1:11" x14ac:dyDescent="0.25">
      <c r="D156" t="s">
        <v>508</v>
      </c>
      <c r="H156" t="s">
        <v>508</v>
      </c>
      <c r="K156" t="s">
        <v>508</v>
      </c>
    </row>
    <row r="157" spans="1:11" x14ac:dyDescent="0.25">
      <c r="D157" t="s">
        <v>499</v>
      </c>
      <c r="H157" t="s">
        <v>499</v>
      </c>
      <c r="K157" t="s">
        <v>499</v>
      </c>
    </row>
    <row r="158" spans="1:11" x14ac:dyDescent="0.25">
      <c r="D158" t="s">
        <v>509</v>
      </c>
      <c r="H158" t="s">
        <v>500</v>
      </c>
      <c r="K158" t="s">
        <v>500</v>
      </c>
    </row>
    <row r="159" spans="1:11" x14ac:dyDescent="0.25">
      <c r="D159" t="s">
        <v>510</v>
      </c>
      <c r="H159" t="s">
        <v>511</v>
      </c>
      <c r="K159" t="s">
        <v>511</v>
      </c>
    </row>
    <row r="160" spans="1:11" x14ac:dyDescent="0.25">
      <c r="D160" t="s">
        <v>512</v>
      </c>
      <c r="H160" t="s">
        <v>513</v>
      </c>
      <c r="K160" t="s">
        <v>514</v>
      </c>
    </row>
    <row r="161" spans="1:14" x14ac:dyDescent="0.25">
      <c r="D161" t="s">
        <v>515</v>
      </c>
      <c r="H161" t="s">
        <v>510</v>
      </c>
      <c r="K161" t="s">
        <v>516</v>
      </c>
    </row>
    <row r="162" spans="1:14" x14ac:dyDescent="0.25">
      <c r="D162" t="s">
        <v>517</v>
      </c>
      <c r="H162" t="s">
        <v>512</v>
      </c>
      <c r="K162" t="s">
        <v>513</v>
      </c>
    </row>
    <row r="163" spans="1:14" x14ac:dyDescent="0.25">
      <c r="A163" t="s">
        <v>105</v>
      </c>
      <c r="B163" t="s">
        <v>106</v>
      </c>
      <c r="C163" t="s">
        <v>107</v>
      </c>
      <c r="D163" t="s">
        <v>518</v>
      </c>
      <c r="H163" t="s">
        <v>515</v>
      </c>
      <c r="K163" t="s">
        <v>510</v>
      </c>
      <c r="M163">
        <v>2019</v>
      </c>
      <c r="N163" t="s">
        <v>518</v>
      </c>
    </row>
    <row r="164" spans="1:14" x14ac:dyDescent="0.25">
      <c r="D164" t="s">
        <v>519</v>
      </c>
      <c r="H164" t="s">
        <v>520</v>
      </c>
      <c r="K164" t="s">
        <v>512</v>
      </c>
      <c r="N164" t="s">
        <v>519</v>
      </c>
    </row>
    <row r="165" spans="1:14" x14ac:dyDescent="0.25">
      <c r="D165" t="s">
        <v>490</v>
      </c>
      <c r="K165" t="s">
        <v>515</v>
      </c>
      <c r="N165" t="s">
        <v>521</v>
      </c>
    </row>
    <row r="166" spans="1:14" x14ac:dyDescent="0.25">
      <c r="D166" t="s">
        <v>487</v>
      </c>
      <c r="K166" t="s">
        <v>517</v>
      </c>
      <c r="N166" t="s">
        <v>487</v>
      </c>
    </row>
    <row r="167" spans="1:14" x14ac:dyDescent="0.25">
      <c r="D167" t="s">
        <v>522</v>
      </c>
      <c r="N167" t="s">
        <v>522</v>
      </c>
    </row>
    <row r="168" spans="1:14" x14ac:dyDescent="0.25">
      <c r="D168" t="s">
        <v>523</v>
      </c>
      <c r="N168" t="s">
        <v>523</v>
      </c>
    </row>
    <row r="169" spans="1:14" x14ac:dyDescent="0.25">
      <c r="D169" t="s">
        <v>524</v>
      </c>
      <c r="N169" t="s">
        <v>525</v>
      </c>
    </row>
    <row r="170" spans="1:14" x14ac:dyDescent="0.25">
      <c r="D170" t="s">
        <v>526</v>
      </c>
      <c r="N170" t="s">
        <v>501</v>
      </c>
    </row>
    <row r="171" spans="1:14" x14ac:dyDescent="0.25">
      <c r="D171" t="s">
        <v>527</v>
      </c>
      <c r="N171" t="s">
        <v>526</v>
      </c>
    </row>
    <row r="172" spans="1:14" x14ac:dyDescent="0.25">
      <c r="D172" t="s">
        <v>491</v>
      </c>
      <c r="N172" t="s">
        <v>503</v>
      </c>
    </row>
    <row r="173" spans="1:14" x14ac:dyDescent="0.25">
      <c r="D173" t="s">
        <v>528</v>
      </c>
      <c r="N173" t="s">
        <v>527</v>
      </c>
    </row>
    <row r="174" spans="1:14" x14ac:dyDescent="0.25">
      <c r="D174" t="s">
        <v>529</v>
      </c>
      <c r="N174" t="s">
        <v>530</v>
      </c>
    </row>
    <row r="175" spans="1:14" x14ac:dyDescent="0.25">
      <c r="D175" t="s">
        <v>531</v>
      </c>
      <c r="N175" t="s">
        <v>506</v>
      </c>
    </row>
    <row r="176" spans="1:14" x14ac:dyDescent="0.25">
      <c r="A176" t="s">
        <v>108</v>
      </c>
      <c r="B176" t="s">
        <v>109</v>
      </c>
      <c r="C176" t="s">
        <v>110</v>
      </c>
      <c r="D176" t="s">
        <v>501</v>
      </c>
      <c r="N176" t="s">
        <v>532</v>
      </c>
    </row>
    <row r="177" spans="1:14" x14ac:dyDescent="0.25">
      <c r="D177" t="s">
        <v>502</v>
      </c>
      <c r="N177" t="s">
        <v>491</v>
      </c>
    </row>
    <row r="178" spans="1:14" x14ac:dyDescent="0.25">
      <c r="A178" t="s">
        <v>111</v>
      </c>
      <c r="B178" t="s">
        <v>112</v>
      </c>
      <c r="C178" t="s">
        <v>113</v>
      </c>
      <c r="D178" t="s">
        <v>497</v>
      </c>
      <c r="N178" t="s">
        <v>528</v>
      </c>
    </row>
    <row r="179" spans="1:14" x14ac:dyDescent="0.25">
      <c r="D179" t="s">
        <v>482</v>
      </c>
      <c r="N179" t="s">
        <v>529</v>
      </c>
    </row>
    <row r="180" spans="1:14" x14ac:dyDescent="0.25">
      <c r="D180" t="s">
        <v>533</v>
      </c>
      <c r="N180" t="s">
        <v>531</v>
      </c>
    </row>
    <row r="181" spans="1:14" x14ac:dyDescent="0.25">
      <c r="D181" t="s">
        <v>534</v>
      </c>
    </row>
    <row r="182" spans="1:14" x14ac:dyDescent="0.25">
      <c r="D182" t="s">
        <v>461</v>
      </c>
    </row>
    <row r="183" spans="1:14" x14ac:dyDescent="0.25">
      <c r="D183" t="s">
        <v>535</v>
      </c>
    </row>
    <row r="184" spans="1:14" x14ac:dyDescent="0.25">
      <c r="D184" t="s">
        <v>488</v>
      </c>
    </row>
    <row r="185" spans="1:14" x14ac:dyDescent="0.25">
      <c r="D185" t="s">
        <v>480</v>
      </c>
    </row>
    <row r="186" spans="1:14" x14ac:dyDescent="0.25">
      <c r="D186" t="s">
        <v>503</v>
      </c>
    </row>
    <row r="187" spans="1:14" x14ac:dyDescent="0.25">
      <c r="D187" t="s">
        <v>536</v>
      </c>
    </row>
    <row r="188" spans="1:14" x14ac:dyDescent="0.25">
      <c r="D188" t="s">
        <v>494</v>
      </c>
    </row>
    <row r="189" spans="1:14" x14ac:dyDescent="0.25">
      <c r="D189" t="s">
        <v>530</v>
      </c>
    </row>
    <row r="190" spans="1:14" x14ac:dyDescent="0.25">
      <c r="D190" t="s">
        <v>537</v>
      </c>
    </row>
    <row r="191" spans="1:14" x14ac:dyDescent="0.25">
      <c r="D191" t="s">
        <v>505</v>
      </c>
    </row>
    <row r="192" spans="1:14" x14ac:dyDescent="0.25">
      <c r="D192" t="s">
        <v>506</v>
      </c>
    </row>
    <row r="193" spans="1:4" x14ac:dyDescent="0.25">
      <c r="D193" t="s">
        <v>538</v>
      </c>
    </row>
    <row r="194" spans="1:4" x14ac:dyDescent="0.25">
      <c r="D194" t="s">
        <v>539</v>
      </c>
    </row>
    <row r="195" spans="1:4" x14ac:dyDescent="0.25">
      <c r="D195" t="s">
        <v>540</v>
      </c>
    </row>
    <row r="196" spans="1:4" x14ac:dyDescent="0.25">
      <c r="D196" t="s">
        <v>532</v>
      </c>
    </row>
    <row r="197" spans="1:4" x14ac:dyDescent="0.25">
      <c r="D197" t="s">
        <v>541</v>
      </c>
    </row>
    <row r="198" spans="1:4" x14ac:dyDescent="0.25">
      <c r="D198" t="s">
        <v>531</v>
      </c>
    </row>
    <row r="199" spans="1:4" x14ac:dyDescent="0.25">
      <c r="D199" t="s">
        <v>542</v>
      </c>
    </row>
    <row r="200" spans="1:4" x14ac:dyDescent="0.25">
      <c r="D200" t="s">
        <v>500</v>
      </c>
    </row>
    <row r="201" spans="1:4" x14ac:dyDescent="0.25">
      <c r="D201" t="s">
        <v>470</v>
      </c>
    </row>
    <row r="202" spans="1:4" x14ac:dyDescent="0.25">
      <c r="D202" t="s">
        <v>453</v>
      </c>
    </row>
    <row r="203" spans="1:4" x14ac:dyDescent="0.25">
      <c r="D203" t="s">
        <v>491</v>
      </c>
    </row>
    <row r="204" spans="1:4" x14ac:dyDescent="0.25">
      <c r="D204" t="s">
        <v>504</v>
      </c>
    </row>
    <row r="205" spans="1:4" x14ac:dyDescent="0.25">
      <c r="D205" t="s">
        <v>543</v>
      </c>
    </row>
    <row r="206" spans="1:4" x14ac:dyDescent="0.25">
      <c r="A206" t="s">
        <v>114</v>
      </c>
      <c r="B206" t="s">
        <v>115</v>
      </c>
      <c r="C206" t="s">
        <v>116</v>
      </c>
      <c r="D206" t="s">
        <v>494</v>
      </c>
    </row>
    <row r="207" spans="1:4" x14ac:dyDescent="0.25">
      <c r="A207" t="s">
        <v>117</v>
      </c>
      <c r="B207" t="s">
        <v>118</v>
      </c>
      <c r="C207" t="s">
        <v>119</v>
      </c>
      <c r="D207" t="s">
        <v>544</v>
      </c>
    </row>
    <row r="208" spans="1:4" x14ac:dyDescent="0.25">
      <c r="D208" t="s">
        <v>529</v>
      </c>
    </row>
    <row r="209" spans="1:4" x14ac:dyDescent="0.25">
      <c r="D209" t="s">
        <v>545</v>
      </c>
    </row>
    <row r="210" spans="1:4" x14ac:dyDescent="0.25">
      <c r="D210" t="s">
        <v>522</v>
      </c>
    </row>
    <row r="211" spans="1:4" x14ac:dyDescent="0.25">
      <c r="D211" t="s">
        <v>546</v>
      </c>
    </row>
    <row r="212" spans="1:4" x14ac:dyDescent="0.25">
      <c r="D212" t="s">
        <v>547</v>
      </c>
    </row>
    <row r="213" spans="1:4" x14ac:dyDescent="0.25">
      <c r="A213" t="s">
        <v>120</v>
      </c>
      <c r="B213" t="s">
        <v>121</v>
      </c>
      <c r="C213" t="s">
        <v>122</v>
      </c>
      <c r="D213" t="s">
        <v>548</v>
      </c>
    </row>
    <row r="214" spans="1:4" x14ac:dyDescent="0.25">
      <c r="D214" t="s">
        <v>549</v>
      </c>
    </row>
    <row r="215" spans="1:4" x14ac:dyDescent="0.25">
      <c r="D215" t="s">
        <v>550</v>
      </c>
    </row>
    <row r="216" spans="1:4" x14ac:dyDescent="0.25">
      <c r="D216" t="s">
        <v>544</v>
      </c>
    </row>
    <row r="217" spans="1:4" x14ac:dyDescent="0.25">
      <c r="D217" t="s">
        <v>551</v>
      </c>
    </row>
    <row r="218" spans="1:4" x14ac:dyDescent="0.25">
      <c r="D218" t="s">
        <v>552</v>
      </c>
    </row>
    <row r="219" spans="1:4" x14ac:dyDescent="0.25">
      <c r="D219" t="s">
        <v>546</v>
      </c>
    </row>
    <row r="220" spans="1:4" x14ac:dyDescent="0.25">
      <c r="D220" t="s">
        <v>553</v>
      </c>
    </row>
    <row r="221" spans="1:4" x14ac:dyDescent="0.25">
      <c r="D221" t="s">
        <v>554</v>
      </c>
    </row>
    <row r="222" spans="1:4" x14ac:dyDescent="0.25">
      <c r="D222" t="s">
        <v>555</v>
      </c>
    </row>
    <row r="223" spans="1:4" x14ac:dyDescent="0.25">
      <c r="D223" t="s">
        <v>556</v>
      </c>
    </row>
    <row r="224" spans="1:4" x14ac:dyDescent="0.25">
      <c r="D224" t="s">
        <v>557</v>
      </c>
    </row>
    <row r="225" spans="1:5" x14ac:dyDescent="0.25">
      <c r="D225" t="s">
        <v>558</v>
      </c>
    </row>
    <row r="226" spans="1:5" x14ac:dyDescent="0.25">
      <c r="A226" t="s">
        <v>123</v>
      </c>
      <c r="B226" t="s">
        <v>124</v>
      </c>
      <c r="C226" t="s">
        <v>125</v>
      </c>
      <c r="D226" t="s">
        <v>522</v>
      </c>
    </row>
    <row r="227" spans="1:5" x14ac:dyDescent="0.25">
      <c r="D227" t="s">
        <v>544</v>
      </c>
    </row>
    <row r="228" spans="1:5" x14ac:dyDescent="0.25">
      <c r="D228" t="s">
        <v>547</v>
      </c>
    </row>
    <row r="229" spans="1:5" x14ac:dyDescent="0.25">
      <c r="D229" t="s">
        <v>545</v>
      </c>
    </row>
    <row r="230" spans="1:5" x14ac:dyDescent="0.25">
      <c r="A230" t="s">
        <v>126</v>
      </c>
      <c r="B230" t="s">
        <v>127</v>
      </c>
      <c r="C230" t="s">
        <v>128</v>
      </c>
      <c r="D230" t="s">
        <v>559</v>
      </c>
    </row>
    <row r="231" spans="1:5" x14ac:dyDescent="0.25">
      <c r="A231" t="s">
        <v>129</v>
      </c>
      <c r="B231" t="s">
        <v>130</v>
      </c>
      <c r="C231" t="s">
        <v>131</v>
      </c>
      <c r="D231" t="s">
        <v>547</v>
      </c>
      <c r="E231" t="s">
        <v>560</v>
      </c>
    </row>
    <row r="232" spans="1:5" x14ac:dyDescent="0.25">
      <c r="D232" t="s">
        <v>535</v>
      </c>
      <c r="E232" t="s">
        <v>546</v>
      </c>
    </row>
    <row r="233" spans="1:5" x14ac:dyDescent="0.25">
      <c r="D233" t="s">
        <v>561</v>
      </c>
      <c r="E233" t="s">
        <v>544</v>
      </c>
    </row>
    <row r="234" spans="1:5" x14ac:dyDescent="0.25">
      <c r="D234" t="s">
        <v>522</v>
      </c>
      <c r="E234" t="s">
        <v>552</v>
      </c>
    </row>
    <row r="235" spans="1:5" x14ac:dyDescent="0.25">
      <c r="D235" t="s">
        <v>545</v>
      </c>
      <c r="E235" t="s">
        <v>562</v>
      </c>
    </row>
    <row r="236" spans="1:5" x14ac:dyDescent="0.25">
      <c r="D236" t="s">
        <v>563</v>
      </c>
      <c r="E236" t="s">
        <v>529</v>
      </c>
    </row>
    <row r="237" spans="1:5" x14ac:dyDescent="0.25">
      <c r="E237" t="s">
        <v>564</v>
      </c>
    </row>
    <row r="238" spans="1:5" x14ac:dyDescent="0.25">
      <c r="E238" t="s">
        <v>530</v>
      </c>
    </row>
    <row r="239" spans="1:5" x14ac:dyDescent="0.25">
      <c r="E239" t="s">
        <v>536</v>
      </c>
    </row>
    <row r="240" spans="1:5" x14ac:dyDescent="0.25">
      <c r="E240" t="s">
        <v>565</v>
      </c>
    </row>
    <row r="241" spans="1:6" x14ac:dyDescent="0.25">
      <c r="E241" t="s">
        <v>566</v>
      </c>
    </row>
    <row r="242" spans="1:6" x14ac:dyDescent="0.25">
      <c r="E242" t="s">
        <v>545</v>
      </c>
    </row>
    <row r="243" spans="1:6" x14ac:dyDescent="0.25">
      <c r="E243" t="s">
        <v>547</v>
      </c>
    </row>
    <row r="244" spans="1:6" x14ac:dyDescent="0.25">
      <c r="E244" t="s">
        <v>470</v>
      </c>
    </row>
    <row r="245" spans="1:6" x14ac:dyDescent="0.25">
      <c r="E245" t="s">
        <v>535</v>
      </c>
    </row>
    <row r="246" spans="1:6" x14ac:dyDescent="0.25">
      <c r="E246" t="s">
        <v>567</v>
      </c>
    </row>
    <row r="247" spans="1:6" x14ac:dyDescent="0.25">
      <c r="E247" t="s">
        <v>568</v>
      </c>
    </row>
    <row r="248" spans="1:6" x14ac:dyDescent="0.25">
      <c r="E248" t="s">
        <v>522</v>
      </c>
    </row>
    <row r="249" spans="1:6" x14ac:dyDescent="0.25">
      <c r="E249" t="s">
        <v>569</v>
      </c>
    </row>
    <row r="250" spans="1:6" x14ac:dyDescent="0.25">
      <c r="E250" t="s">
        <v>526</v>
      </c>
    </row>
    <row r="251" spans="1:6" x14ac:dyDescent="0.25">
      <c r="E251" t="s">
        <v>511</v>
      </c>
    </row>
    <row r="252" spans="1:6" x14ac:dyDescent="0.25">
      <c r="E252" t="s">
        <v>561</v>
      </c>
    </row>
    <row r="253" spans="1:6" x14ac:dyDescent="0.25">
      <c r="E253" t="s">
        <v>570</v>
      </c>
    </row>
    <row r="254" spans="1:6" x14ac:dyDescent="0.25">
      <c r="E254" t="s">
        <v>571</v>
      </c>
    </row>
    <row r="255" spans="1:6" x14ac:dyDescent="0.25">
      <c r="A255" t="s">
        <v>132</v>
      </c>
      <c r="B255" t="s">
        <v>133</v>
      </c>
      <c r="C255" t="s">
        <v>134</v>
      </c>
      <c r="D255" t="s">
        <v>562</v>
      </c>
      <c r="E255" t="s">
        <v>562</v>
      </c>
      <c r="F255" t="s">
        <v>545</v>
      </c>
    </row>
    <row r="256" spans="1:6" x14ac:dyDescent="0.25">
      <c r="D256" t="s">
        <v>545</v>
      </c>
      <c r="E256" t="s">
        <v>544</v>
      </c>
      <c r="F256" t="s">
        <v>547</v>
      </c>
    </row>
    <row r="257" spans="1:6" x14ac:dyDescent="0.25">
      <c r="D257" t="s">
        <v>522</v>
      </c>
      <c r="E257" t="s">
        <v>522</v>
      </c>
      <c r="F257" t="s">
        <v>522</v>
      </c>
    </row>
    <row r="258" spans="1:6" x14ac:dyDescent="0.25">
      <c r="E258" t="s">
        <v>547</v>
      </c>
      <c r="F258" t="s">
        <v>527</v>
      </c>
    </row>
    <row r="259" spans="1:6" x14ac:dyDescent="0.25">
      <c r="E259" t="s">
        <v>527</v>
      </c>
      <c r="F259" t="s">
        <v>544</v>
      </c>
    </row>
    <row r="260" spans="1:6" x14ac:dyDescent="0.25">
      <c r="E260" t="s">
        <v>545</v>
      </c>
      <c r="F260" t="s">
        <v>546</v>
      </c>
    </row>
    <row r="261" spans="1:6" x14ac:dyDescent="0.25">
      <c r="E261" t="s">
        <v>529</v>
      </c>
      <c r="F261" t="s">
        <v>529</v>
      </c>
    </row>
    <row r="262" spans="1:6" x14ac:dyDescent="0.25">
      <c r="E262" t="s">
        <v>572</v>
      </c>
    </row>
    <row r="263" spans="1:6" x14ac:dyDescent="0.25">
      <c r="A263" t="s">
        <v>135</v>
      </c>
      <c r="B263" t="s">
        <v>136</v>
      </c>
      <c r="C263" t="s">
        <v>137</v>
      </c>
      <c r="D263" t="s">
        <v>547</v>
      </c>
    </row>
    <row r="264" spans="1:6" x14ac:dyDescent="0.25">
      <c r="D264" t="s">
        <v>573</v>
      </c>
    </row>
    <row r="265" spans="1:6" x14ac:dyDescent="0.25">
      <c r="D265" t="s">
        <v>553</v>
      </c>
    </row>
    <row r="266" spans="1:6" x14ac:dyDescent="0.25">
      <c r="D266" t="s">
        <v>561</v>
      </c>
    </row>
    <row r="267" spans="1:6" x14ac:dyDescent="0.25">
      <c r="D267" t="s">
        <v>574</v>
      </c>
    </row>
    <row r="268" spans="1:6" x14ac:dyDescent="0.25">
      <c r="D268" t="s">
        <v>568</v>
      </c>
    </row>
    <row r="269" spans="1:6" x14ac:dyDescent="0.25">
      <c r="D269" t="s">
        <v>575</v>
      </c>
    </row>
    <row r="270" spans="1:6" x14ac:dyDescent="0.25">
      <c r="A270" t="s">
        <v>138</v>
      </c>
      <c r="B270" t="s">
        <v>139</v>
      </c>
      <c r="C270" t="s">
        <v>140</v>
      </c>
      <c r="D270" t="s">
        <v>544</v>
      </c>
    </row>
    <row r="271" spans="1:6" x14ac:dyDescent="0.25">
      <c r="D271" t="s">
        <v>561</v>
      </c>
    </row>
    <row r="272" spans="1:6" x14ac:dyDescent="0.25">
      <c r="D272" t="s">
        <v>552</v>
      </c>
    </row>
    <row r="273" spans="1:4" x14ac:dyDescent="0.25">
      <c r="D273" t="s">
        <v>547</v>
      </c>
    </row>
    <row r="274" spans="1:4" x14ac:dyDescent="0.25">
      <c r="D274" t="s">
        <v>545</v>
      </c>
    </row>
    <row r="275" spans="1:4" x14ac:dyDescent="0.25">
      <c r="A275" t="s">
        <v>141</v>
      </c>
      <c r="B275" t="s">
        <v>142</v>
      </c>
      <c r="C275" t="s">
        <v>143</v>
      </c>
      <c r="D275" t="s">
        <v>576</v>
      </c>
    </row>
    <row r="276" spans="1:4" x14ac:dyDescent="0.25">
      <c r="D276" t="s">
        <v>535</v>
      </c>
    </row>
    <row r="277" spans="1:4" x14ac:dyDescent="0.25">
      <c r="D277" t="s">
        <v>522</v>
      </c>
    </row>
    <row r="278" spans="1:4" x14ac:dyDescent="0.25">
      <c r="D278" t="s">
        <v>547</v>
      </c>
    </row>
    <row r="279" spans="1:4" x14ac:dyDescent="0.25">
      <c r="D279" t="s">
        <v>545</v>
      </c>
    </row>
    <row r="280" spans="1:4" x14ac:dyDescent="0.25">
      <c r="A280" t="s">
        <v>144</v>
      </c>
      <c r="B280" t="s">
        <v>145</v>
      </c>
      <c r="C280" t="s">
        <v>146</v>
      </c>
      <c r="D280" t="s">
        <v>577</v>
      </c>
    </row>
    <row r="281" spans="1:4" x14ac:dyDescent="0.25">
      <c r="D281" t="s">
        <v>574</v>
      </c>
    </row>
    <row r="282" spans="1:4" x14ac:dyDescent="0.25">
      <c r="D282" t="s">
        <v>566</v>
      </c>
    </row>
    <row r="283" spans="1:4" x14ac:dyDescent="0.25">
      <c r="D283" t="s">
        <v>553</v>
      </c>
    </row>
    <row r="284" spans="1:4" x14ac:dyDescent="0.25">
      <c r="D284" t="s">
        <v>573</v>
      </c>
    </row>
    <row r="285" spans="1:4" x14ac:dyDescent="0.25">
      <c r="D285" t="s">
        <v>578</v>
      </c>
    </row>
    <row r="286" spans="1:4" x14ac:dyDescent="0.25">
      <c r="A286" t="s">
        <v>147</v>
      </c>
      <c r="B286" t="s">
        <v>148</v>
      </c>
      <c r="C286" t="s">
        <v>149</v>
      </c>
      <c r="D286" t="s">
        <v>562</v>
      </c>
    </row>
    <row r="287" spans="1:4" x14ac:dyDescent="0.25">
      <c r="D287" t="s">
        <v>572</v>
      </c>
    </row>
    <row r="288" spans="1:4" x14ac:dyDescent="0.25">
      <c r="A288" t="s">
        <v>150</v>
      </c>
      <c r="B288" t="s">
        <v>151</v>
      </c>
      <c r="C288" t="s">
        <v>152</v>
      </c>
      <c r="D288" t="s">
        <v>544</v>
      </c>
    </row>
    <row r="289" spans="1:5" x14ac:dyDescent="0.25">
      <c r="D289" t="s">
        <v>547</v>
      </c>
    </row>
    <row r="290" spans="1:5" x14ac:dyDescent="0.25">
      <c r="D290" t="s">
        <v>522</v>
      </c>
    </row>
    <row r="291" spans="1:5" x14ac:dyDescent="0.25">
      <c r="D291" t="s">
        <v>546</v>
      </c>
    </row>
    <row r="292" spans="1:5" x14ac:dyDescent="0.25">
      <c r="D292" t="s">
        <v>551</v>
      </c>
    </row>
    <row r="293" spans="1:5" x14ac:dyDescent="0.25">
      <c r="D293" t="s">
        <v>556</v>
      </c>
    </row>
    <row r="294" spans="1:5" x14ac:dyDescent="0.25">
      <c r="A294" t="s">
        <v>153</v>
      </c>
      <c r="B294" t="s">
        <v>154</v>
      </c>
      <c r="C294" t="s">
        <v>155</v>
      </c>
      <c r="D294" t="s">
        <v>545</v>
      </c>
    </row>
    <row r="295" spans="1:5" x14ac:dyDescent="0.25">
      <c r="D295" t="s">
        <v>535</v>
      </c>
    </row>
    <row r="296" spans="1:5" x14ac:dyDescent="0.25">
      <c r="D296" t="s">
        <v>547</v>
      </c>
    </row>
    <row r="297" spans="1:5" x14ac:dyDescent="0.25">
      <c r="D297" t="s">
        <v>579</v>
      </c>
    </row>
    <row r="298" spans="1:5" x14ac:dyDescent="0.25">
      <c r="A298" t="s">
        <v>156</v>
      </c>
      <c r="B298" t="s">
        <v>157</v>
      </c>
      <c r="C298" t="s">
        <v>158</v>
      </c>
      <c r="D298" t="s">
        <v>561</v>
      </c>
      <c r="E298" t="s">
        <v>573</v>
      </c>
    </row>
    <row r="299" spans="1:5" x14ac:dyDescent="0.25">
      <c r="D299" t="s">
        <v>545</v>
      </c>
    </row>
    <row r="300" spans="1:5" x14ac:dyDescent="0.25">
      <c r="D300" t="s">
        <v>547</v>
      </c>
    </row>
    <row r="301" spans="1:5" x14ac:dyDescent="0.25">
      <c r="D301" t="s">
        <v>552</v>
      </c>
    </row>
    <row r="302" spans="1:5" x14ac:dyDescent="0.25">
      <c r="D302" t="s">
        <v>566</v>
      </c>
    </row>
    <row r="303" spans="1:5" x14ac:dyDescent="0.25">
      <c r="A303" t="s">
        <v>159</v>
      </c>
      <c r="B303" t="s">
        <v>160</v>
      </c>
      <c r="C303" t="s">
        <v>161</v>
      </c>
      <c r="D303" t="s">
        <v>569</v>
      </c>
    </row>
    <row r="304" spans="1:5" x14ac:dyDescent="0.25">
      <c r="D304" t="s">
        <v>545</v>
      </c>
    </row>
    <row r="305" spans="1:4" x14ac:dyDescent="0.25">
      <c r="D305" t="s">
        <v>576</v>
      </c>
    </row>
    <row r="306" spans="1:4" x14ac:dyDescent="0.25">
      <c r="D306" t="s">
        <v>511</v>
      </c>
    </row>
    <row r="307" spans="1:4" x14ac:dyDescent="0.25">
      <c r="D307" t="s">
        <v>580</v>
      </c>
    </row>
    <row r="308" spans="1:4" x14ac:dyDescent="0.25">
      <c r="A308" t="s">
        <v>162</v>
      </c>
      <c r="B308" t="s">
        <v>163</v>
      </c>
      <c r="C308" t="s">
        <v>164</v>
      </c>
      <c r="D308" t="s">
        <v>546</v>
      </c>
    </row>
    <row r="309" spans="1:4" x14ac:dyDescent="0.25">
      <c r="D309" t="s">
        <v>544</v>
      </c>
    </row>
    <row r="310" spans="1:4" x14ac:dyDescent="0.25">
      <c r="D310" t="s">
        <v>554</v>
      </c>
    </row>
    <row r="311" spans="1:4" x14ac:dyDescent="0.25">
      <c r="D311" t="s">
        <v>551</v>
      </c>
    </row>
    <row r="312" spans="1:4" x14ac:dyDescent="0.25">
      <c r="D312" t="s">
        <v>556</v>
      </c>
    </row>
    <row r="313" spans="1:4" x14ac:dyDescent="0.25">
      <c r="D313" t="s">
        <v>579</v>
      </c>
    </row>
    <row r="314" spans="1:4" x14ac:dyDescent="0.25">
      <c r="A314" t="s">
        <v>165</v>
      </c>
      <c r="B314" t="s">
        <v>166</v>
      </c>
      <c r="C314" t="s">
        <v>167</v>
      </c>
      <c r="D314" t="s">
        <v>551</v>
      </c>
    </row>
    <row r="315" spans="1:4" x14ac:dyDescent="0.25">
      <c r="D315" t="s">
        <v>546</v>
      </c>
    </row>
    <row r="316" spans="1:4" x14ac:dyDescent="0.25">
      <c r="D316" t="s">
        <v>547</v>
      </c>
    </row>
    <row r="317" spans="1:4" x14ac:dyDescent="0.25">
      <c r="D317" t="s">
        <v>561</v>
      </c>
    </row>
    <row r="318" spans="1:4" x14ac:dyDescent="0.25">
      <c r="D318" t="s">
        <v>557</v>
      </c>
    </row>
    <row r="319" spans="1:4" x14ac:dyDescent="0.25">
      <c r="D319" t="s">
        <v>553</v>
      </c>
    </row>
    <row r="320" spans="1:4" x14ac:dyDescent="0.25">
      <c r="D320" t="s">
        <v>562</v>
      </c>
    </row>
    <row r="321" spans="1:5" x14ac:dyDescent="0.25">
      <c r="D321" t="s">
        <v>544</v>
      </c>
    </row>
    <row r="322" spans="1:5" x14ac:dyDescent="0.25">
      <c r="D322" t="s">
        <v>545</v>
      </c>
    </row>
    <row r="323" spans="1:5" x14ac:dyDescent="0.25">
      <c r="D323" t="s">
        <v>556</v>
      </c>
    </row>
    <row r="324" spans="1:5" x14ac:dyDescent="0.25">
      <c r="D324" t="s">
        <v>575</v>
      </c>
    </row>
    <row r="325" spans="1:5" x14ac:dyDescent="0.25">
      <c r="A325" t="s">
        <v>168</v>
      </c>
      <c r="B325" t="s">
        <v>169</v>
      </c>
      <c r="C325" t="s">
        <v>170</v>
      </c>
      <c r="D325" t="s">
        <v>575</v>
      </c>
    </row>
    <row r="326" spans="1:5" x14ac:dyDescent="0.25">
      <c r="D326" t="s">
        <v>545</v>
      </c>
    </row>
    <row r="327" spans="1:5" x14ac:dyDescent="0.25">
      <c r="D327" t="s">
        <v>547</v>
      </c>
    </row>
    <row r="328" spans="1:5" x14ac:dyDescent="0.25">
      <c r="D328" t="s">
        <v>535</v>
      </c>
    </row>
    <row r="329" spans="1:5" x14ac:dyDescent="0.25">
      <c r="A329" t="s">
        <v>171</v>
      </c>
      <c r="B329" t="s">
        <v>172</v>
      </c>
      <c r="C329" t="s">
        <v>173</v>
      </c>
      <c r="D329" t="s">
        <v>568</v>
      </c>
      <c r="E329" t="s">
        <v>581</v>
      </c>
    </row>
    <row r="330" spans="1:5" x14ac:dyDescent="0.25">
      <c r="D330" t="s">
        <v>582</v>
      </c>
      <c r="E330" t="s">
        <v>583</v>
      </c>
    </row>
    <row r="331" spans="1:5" x14ac:dyDescent="0.25">
      <c r="D331" t="s">
        <v>584</v>
      </c>
      <c r="E331" t="s">
        <v>585</v>
      </c>
    </row>
    <row r="332" spans="1:5" x14ac:dyDescent="0.25">
      <c r="D332" t="s">
        <v>586</v>
      </c>
      <c r="E332" t="s">
        <v>534</v>
      </c>
    </row>
    <row r="333" spans="1:5" x14ac:dyDescent="0.25">
      <c r="D333" t="s">
        <v>587</v>
      </c>
      <c r="E333" t="s">
        <v>588</v>
      </c>
    </row>
    <row r="334" spans="1:5" x14ac:dyDescent="0.25">
      <c r="D334" t="s">
        <v>589</v>
      </c>
      <c r="E334" t="s">
        <v>590</v>
      </c>
    </row>
    <row r="335" spans="1:5" x14ac:dyDescent="0.25">
      <c r="D335" t="s">
        <v>591</v>
      </c>
    </row>
    <row r="336" spans="1:5" x14ac:dyDescent="0.25">
      <c r="D336" t="s">
        <v>587</v>
      </c>
    </row>
    <row r="337" spans="1:5" x14ac:dyDescent="0.25">
      <c r="D337" t="s">
        <v>592</v>
      </c>
    </row>
    <row r="338" spans="1:5" x14ac:dyDescent="0.25">
      <c r="D338" t="s">
        <v>593</v>
      </c>
    </row>
    <row r="339" spans="1:5" x14ac:dyDescent="0.25">
      <c r="A339" t="s">
        <v>174</v>
      </c>
      <c r="B339" t="s">
        <v>175</v>
      </c>
      <c r="C339" t="s">
        <v>176</v>
      </c>
      <c r="D339" t="s">
        <v>587</v>
      </c>
    </row>
    <row r="340" spans="1:5" x14ac:dyDescent="0.25">
      <c r="D340" t="s">
        <v>584</v>
      </c>
    </row>
    <row r="341" spans="1:5" x14ac:dyDescent="0.25">
      <c r="D341" t="s">
        <v>568</v>
      </c>
    </row>
    <row r="342" spans="1:5" x14ac:dyDescent="0.25">
      <c r="D342" t="s">
        <v>586</v>
      </c>
    </row>
    <row r="343" spans="1:5" x14ac:dyDescent="0.25">
      <c r="D343" t="s">
        <v>592</v>
      </c>
    </row>
    <row r="344" spans="1:5" x14ac:dyDescent="0.25">
      <c r="D344" t="s">
        <v>570</v>
      </c>
    </row>
    <row r="345" spans="1:5" x14ac:dyDescent="0.25">
      <c r="D345" t="s">
        <v>583</v>
      </c>
    </row>
    <row r="346" spans="1:5" x14ac:dyDescent="0.25">
      <c r="D346" t="s">
        <v>588</v>
      </c>
    </row>
    <row r="347" spans="1:5" x14ac:dyDescent="0.25">
      <c r="D347" t="s">
        <v>591</v>
      </c>
    </row>
    <row r="348" spans="1:5" x14ac:dyDescent="0.25">
      <c r="D348" t="s">
        <v>582</v>
      </c>
    </row>
    <row r="349" spans="1:5" x14ac:dyDescent="0.25">
      <c r="A349" t="s">
        <v>177</v>
      </c>
      <c r="B349" t="s">
        <v>178</v>
      </c>
      <c r="C349" t="s">
        <v>179</v>
      </c>
      <c r="D349" t="s">
        <v>573</v>
      </c>
      <c r="E349" t="s">
        <v>587</v>
      </c>
    </row>
    <row r="350" spans="1:5" x14ac:dyDescent="0.25">
      <c r="D350" t="s">
        <v>534</v>
      </c>
    </row>
    <row r="351" spans="1:5" x14ac:dyDescent="0.25">
      <c r="D351" t="s">
        <v>553</v>
      </c>
    </row>
    <row r="352" spans="1:5" x14ac:dyDescent="0.25">
      <c r="D352" t="s">
        <v>568</v>
      </c>
    </row>
    <row r="353" spans="1:4" x14ac:dyDescent="0.25">
      <c r="D353" t="s">
        <v>582</v>
      </c>
    </row>
    <row r="354" spans="1:4" x14ac:dyDescent="0.25">
      <c r="D354" t="s">
        <v>589</v>
      </c>
    </row>
    <row r="355" spans="1:4" x14ac:dyDescent="0.25">
      <c r="D355" t="s">
        <v>594</v>
      </c>
    </row>
    <row r="356" spans="1:4" x14ac:dyDescent="0.25">
      <c r="A356" t="s">
        <v>180</v>
      </c>
      <c r="B356" t="s">
        <v>181</v>
      </c>
      <c r="C356" t="s">
        <v>182</v>
      </c>
      <c r="D356" t="s">
        <v>592</v>
      </c>
    </row>
    <row r="357" spans="1:4" x14ac:dyDescent="0.25">
      <c r="D357" t="s">
        <v>589</v>
      </c>
    </row>
    <row r="358" spans="1:4" x14ac:dyDescent="0.25">
      <c r="D358" t="s">
        <v>587</v>
      </c>
    </row>
    <row r="359" spans="1:4" x14ac:dyDescent="0.25">
      <c r="D359" t="s">
        <v>561</v>
      </c>
    </row>
    <row r="360" spans="1:4" x14ac:dyDescent="0.25">
      <c r="D360" t="s">
        <v>573</v>
      </c>
    </row>
    <row r="361" spans="1:4" x14ac:dyDescent="0.25">
      <c r="D361" t="s">
        <v>570</v>
      </c>
    </row>
    <row r="362" spans="1:4" x14ac:dyDescent="0.25">
      <c r="D362" t="s">
        <v>549</v>
      </c>
    </row>
    <row r="363" spans="1:4" x14ac:dyDescent="0.25">
      <c r="D363" t="s">
        <v>568</v>
      </c>
    </row>
    <row r="364" spans="1:4" x14ac:dyDescent="0.25">
      <c r="D364" t="s">
        <v>553</v>
      </c>
    </row>
    <row r="365" spans="1:4" x14ac:dyDescent="0.25">
      <c r="A365" t="s">
        <v>183</v>
      </c>
      <c r="B365" t="s">
        <v>184</v>
      </c>
      <c r="C365" t="s">
        <v>185</v>
      </c>
      <c r="D365" t="s">
        <v>595</v>
      </c>
    </row>
    <row r="366" spans="1:4" x14ac:dyDescent="0.25">
      <c r="D366" t="s">
        <v>544</v>
      </c>
    </row>
    <row r="367" spans="1:4" x14ac:dyDescent="0.25">
      <c r="D367" t="s">
        <v>550</v>
      </c>
    </row>
    <row r="368" spans="1:4" x14ac:dyDescent="0.25">
      <c r="D368" t="s">
        <v>551</v>
      </c>
    </row>
    <row r="369" spans="4:4" x14ac:dyDescent="0.25">
      <c r="D369" t="s">
        <v>596</v>
      </c>
    </row>
    <row r="370" spans="4:4" x14ac:dyDescent="0.25">
      <c r="D370" t="s">
        <v>570</v>
      </c>
    </row>
    <row r="371" spans="4:4" x14ac:dyDescent="0.25">
      <c r="D371" t="s">
        <v>573</v>
      </c>
    </row>
    <row r="372" spans="4:4" x14ac:dyDescent="0.25">
      <c r="D372" t="s">
        <v>555</v>
      </c>
    </row>
    <row r="373" spans="4:4" x14ac:dyDescent="0.25">
      <c r="D373" t="s">
        <v>556</v>
      </c>
    </row>
    <row r="374" spans="4:4" x14ac:dyDescent="0.25">
      <c r="D374" t="s">
        <v>554</v>
      </c>
    </row>
    <row r="375" spans="4:4" x14ac:dyDescent="0.25">
      <c r="D375" t="s">
        <v>588</v>
      </c>
    </row>
    <row r="376" spans="4:4" x14ac:dyDescent="0.25">
      <c r="D376" t="s">
        <v>585</v>
      </c>
    </row>
    <row r="377" spans="4:4" x14ac:dyDescent="0.25">
      <c r="D377" t="s">
        <v>557</v>
      </c>
    </row>
    <row r="378" spans="4:4" x14ac:dyDescent="0.25">
      <c r="D378" t="s">
        <v>548</v>
      </c>
    </row>
    <row r="379" spans="4:4" x14ac:dyDescent="0.25">
      <c r="D379" t="s">
        <v>568</v>
      </c>
    </row>
    <row r="380" spans="4:4" x14ac:dyDescent="0.25">
      <c r="D380" t="s">
        <v>597</v>
      </c>
    </row>
    <row r="381" spans="4:4" x14ac:dyDescent="0.25">
      <c r="D381" t="s">
        <v>583</v>
      </c>
    </row>
    <row r="382" spans="4:4" x14ac:dyDescent="0.25">
      <c r="D382" t="s">
        <v>553</v>
      </c>
    </row>
    <row r="383" spans="4:4" x14ac:dyDescent="0.25">
      <c r="D383" t="s">
        <v>598</v>
      </c>
    </row>
    <row r="384" spans="4:4" x14ac:dyDescent="0.25">
      <c r="D384" t="s">
        <v>546</v>
      </c>
    </row>
    <row r="385" spans="1:5" x14ac:dyDescent="0.25">
      <c r="D385" t="s">
        <v>549</v>
      </c>
    </row>
    <row r="386" spans="1:5" x14ac:dyDescent="0.25">
      <c r="D386" t="s">
        <v>586</v>
      </c>
    </row>
    <row r="387" spans="1:5" x14ac:dyDescent="0.25">
      <c r="D387" t="s">
        <v>552</v>
      </c>
    </row>
    <row r="388" spans="1:5" x14ac:dyDescent="0.25">
      <c r="D388" t="s">
        <v>599</v>
      </c>
    </row>
    <row r="389" spans="1:5" x14ac:dyDescent="0.25">
      <c r="A389" t="s">
        <v>186</v>
      </c>
      <c r="B389" t="s">
        <v>187</v>
      </c>
      <c r="C389" t="s">
        <v>188</v>
      </c>
      <c r="D389" t="s">
        <v>600</v>
      </c>
    </row>
    <row r="390" spans="1:5" x14ac:dyDescent="0.25">
      <c r="D390" t="s">
        <v>598</v>
      </c>
    </row>
    <row r="391" spans="1:5" x14ac:dyDescent="0.25">
      <c r="D391" t="s">
        <v>595</v>
      </c>
    </row>
    <row r="392" spans="1:5" x14ac:dyDescent="0.25">
      <c r="D392" t="s">
        <v>596</v>
      </c>
    </row>
    <row r="393" spans="1:5" x14ac:dyDescent="0.25">
      <c r="D393" t="s">
        <v>583</v>
      </c>
    </row>
    <row r="394" spans="1:5" x14ac:dyDescent="0.25">
      <c r="D394" t="s">
        <v>588</v>
      </c>
    </row>
    <row r="395" spans="1:5" x14ac:dyDescent="0.25">
      <c r="D395" t="s">
        <v>585</v>
      </c>
    </row>
    <row r="396" spans="1:5" x14ac:dyDescent="0.25">
      <c r="D396" t="s">
        <v>597</v>
      </c>
    </row>
    <row r="397" spans="1:5" x14ac:dyDescent="0.25">
      <c r="D397" t="s">
        <v>593</v>
      </c>
    </row>
    <row r="398" spans="1:5" x14ac:dyDescent="0.25">
      <c r="A398" t="s">
        <v>189</v>
      </c>
      <c r="B398" t="s">
        <v>190</v>
      </c>
      <c r="C398" t="s">
        <v>191</v>
      </c>
      <c r="D398" t="s">
        <v>565</v>
      </c>
      <c r="E398" t="s">
        <v>598</v>
      </c>
    </row>
    <row r="399" spans="1:5" x14ac:dyDescent="0.25">
      <c r="D399" t="s">
        <v>553</v>
      </c>
      <c r="E399" t="s">
        <v>549</v>
      </c>
    </row>
    <row r="400" spans="1:5" x14ac:dyDescent="0.25">
      <c r="D400" t="s">
        <v>596</v>
      </c>
      <c r="E400" t="s">
        <v>600</v>
      </c>
    </row>
    <row r="401" spans="1:5" x14ac:dyDescent="0.25">
      <c r="D401" t="s">
        <v>570</v>
      </c>
      <c r="E401" t="s">
        <v>587</v>
      </c>
    </row>
    <row r="402" spans="1:5" x14ac:dyDescent="0.25">
      <c r="D402" t="s">
        <v>586</v>
      </c>
      <c r="E402" t="s">
        <v>550</v>
      </c>
    </row>
    <row r="403" spans="1:5" x14ac:dyDescent="0.25">
      <c r="D403" t="s">
        <v>573</v>
      </c>
      <c r="E403" t="s">
        <v>596</v>
      </c>
    </row>
    <row r="404" spans="1:5" x14ac:dyDescent="0.25">
      <c r="D404" t="s">
        <v>555</v>
      </c>
      <c r="E404" t="s">
        <v>570</v>
      </c>
    </row>
    <row r="405" spans="1:5" x14ac:dyDescent="0.25">
      <c r="D405" t="s">
        <v>554</v>
      </c>
      <c r="E405" t="s">
        <v>573</v>
      </c>
    </row>
    <row r="406" spans="1:5" x14ac:dyDescent="0.25">
      <c r="D406" t="s">
        <v>588</v>
      </c>
      <c r="E406" t="s">
        <v>556</v>
      </c>
    </row>
    <row r="407" spans="1:5" x14ac:dyDescent="0.25">
      <c r="D407" t="s">
        <v>585</v>
      </c>
      <c r="E407" t="s">
        <v>588</v>
      </c>
    </row>
    <row r="408" spans="1:5" x14ac:dyDescent="0.25">
      <c r="D408" t="s">
        <v>591</v>
      </c>
      <c r="E408" t="s">
        <v>585</v>
      </c>
    </row>
    <row r="409" spans="1:5" x14ac:dyDescent="0.25">
      <c r="D409" t="s">
        <v>557</v>
      </c>
      <c r="E409" t="s">
        <v>592</v>
      </c>
    </row>
    <row r="410" spans="1:5" x14ac:dyDescent="0.25">
      <c r="D410" t="s">
        <v>592</v>
      </c>
      <c r="E410" t="s">
        <v>568</v>
      </c>
    </row>
    <row r="411" spans="1:5" x14ac:dyDescent="0.25">
      <c r="D411" t="s">
        <v>568</v>
      </c>
      <c r="E411" t="s">
        <v>597</v>
      </c>
    </row>
    <row r="412" spans="1:5" x14ac:dyDescent="0.25">
      <c r="D412" t="s">
        <v>597</v>
      </c>
      <c r="E412" t="s">
        <v>583</v>
      </c>
    </row>
    <row r="413" spans="1:5" x14ac:dyDescent="0.25">
      <c r="D413" t="s">
        <v>583</v>
      </c>
      <c r="E413" t="s">
        <v>553</v>
      </c>
    </row>
    <row r="414" spans="1:5" x14ac:dyDescent="0.25">
      <c r="D414" t="s">
        <v>599</v>
      </c>
      <c r="E414" t="s">
        <v>601</v>
      </c>
    </row>
    <row r="415" spans="1:5" x14ac:dyDescent="0.25">
      <c r="A415" t="s">
        <v>192</v>
      </c>
      <c r="B415" t="s">
        <v>193</v>
      </c>
      <c r="C415" t="s">
        <v>194</v>
      </c>
      <c r="D415" t="s">
        <v>602</v>
      </c>
    </row>
    <row r="416" spans="1:5" x14ac:dyDescent="0.25">
      <c r="A416" t="s">
        <v>195</v>
      </c>
      <c r="B416" t="s">
        <v>196</v>
      </c>
      <c r="C416" t="s">
        <v>197</v>
      </c>
      <c r="D416" t="s">
        <v>602</v>
      </c>
    </row>
    <row r="417" spans="1:5" x14ac:dyDescent="0.25">
      <c r="D417" t="s">
        <v>603</v>
      </c>
    </row>
    <row r="418" spans="1:5" x14ac:dyDescent="0.25">
      <c r="A418" t="s">
        <v>198</v>
      </c>
      <c r="B418" t="s">
        <v>199</v>
      </c>
      <c r="C418" t="s">
        <v>200</v>
      </c>
      <c r="D418" t="s">
        <v>604</v>
      </c>
    </row>
    <row r="419" spans="1:5" x14ac:dyDescent="0.25">
      <c r="D419" t="s">
        <v>605</v>
      </c>
    </row>
    <row r="420" spans="1:5" x14ac:dyDescent="0.25">
      <c r="D420" t="s">
        <v>606</v>
      </c>
    </row>
    <row r="421" spans="1:5" x14ac:dyDescent="0.25">
      <c r="D421" t="s">
        <v>602</v>
      </c>
    </row>
    <row r="422" spans="1:5" x14ac:dyDescent="0.25">
      <c r="D422" t="s">
        <v>607</v>
      </c>
    </row>
    <row r="423" spans="1:5" x14ac:dyDescent="0.25">
      <c r="D423" t="s">
        <v>608</v>
      </c>
    </row>
    <row r="424" spans="1:5" x14ac:dyDescent="0.25">
      <c r="A424" t="s">
        <v>201</v>
      </c>
      <c r="B424" t="s">
        <v>202</v>
      </c>
      <c r="C424" t="s">
        <v>203</v>
      </c>
      <c r="D424" t="s">
        <v>609</v>
      </c>
    </row>
    <row r="425" spans="1:5" x14ac:dyDescent="0.25">
      <c r="A425" t="s">
        <v>204</v>
      </c>
      <c r="B425" t="s">
        <v>205</v>
      </c>
      <c r="C425" t="s">
        <v>206</v>
      </c>
      <c r="D425" t="s">
        <v>610</v>
      </c>
    </row>
    <row r="426" spans="1:5" x14ac:dyDescent="0.25">
      <c r="A426" t="s">
        <v>207</v>
      </c>
      <c r="B426" t="s">
        <v>208</v>
      </c>
      <c r="C426" t="s">
        <v>209</v>
      </c>
      <c r="D426" t="s">
        <v>604</v>
      </c>
    </row>
    <row r="427" spans="1:5" x14ac:dyDescent="0.25">
      <c r="A427" t="s">
        <v>210</v>
      </c>
      <c r="B427" t="s">
        <v>211</v>
      </c>
      <c r="C427" t="s">
        <v>212</v>
      </c>
      <c r="D427" t="s">
        <v>609</v>
      </c>
    </row>
    <row r="428" spans="1:5" x14ac:dyDescent="0.25">
      <c r="A428" t="s">
        <v>213</v>
      </c>
      <c r="B428" t="s">
        <v>214</v>
      </c>
      <c r="C428" t="s">
        <v>215</v>
      </c>
      <c r="D428" t="s">
        <v>610</v>
      </c>
      <c r="E428" t="s">
        <v>604</v>
      </c>
    </row>
    <row r="429" spans="1:5" x14ac:dyDescent="0.25">
      <c r="A429" t="s">
        <v>216</v>
      </c>
      <c r="B429" t="s">
        <v>217</v>
      </c>
      <c r="C429" t="s">
        <v>218</v>
      </c>
      <c r="D429" t="s">
        <v>611</v>
      </c>
    </row>
    <row r="430" spans="1:5" x14ac:dyDescent="0.25">
      <c r="D430" t="s">
        <v>470</v>
      </c>
    </row>
    <row r="431" spans="1:5" x14ac:dyDescent="0.25">
      <c r="D431" t="s">
        <v>470</v>
      </c>
    </row>
    <row r="432" spans="1:5" x14ac:dyDescent="0.25">
      <c r="D432" t="s">
        <v>453</v>
      </c>
    </row>
    <row r="433" spans="1:4" x14ac:dyDescent="0.25">
      <c r="D433" t="s">
        <v>612</v>
      </c>
    </row>
    <row r="434" spans="1:4" x14ac:dyDescent="0.25">
      <c r="D434" t="s">
        <v>613</v>
      </c>
    </row>
    <row r="435" spans="1:4" x14ac:dyDescent="0.25">
      <c r="D435" t="s">
        <v>614</v>
      </c>
    </row>
    <row r="436" spans="1:4" x14ac:dyDescent="0.25">
      <c r="A436" t="s">
        <v>219</v>
      </c>
      <c r="B436" t="s">
        <v>220</v>
      </c>
      <c r="C436" t="s">
        <v>221</v>
      </c>
      <c r="D436" t="s">
        <v>467</v>
      </c>
    </row>
    <row r="437" spans="1:4" x14ac:dyDescent="0.25">
      <c r="A437" t="s">
        <v>222</v>
      </c>
      <c r="B437" t="s">
        <v>223</v>
      </c>
      <c r="C437" t="s">
        <v>224</v>
      </c>
      <c r="D437" t="s">
        <v>537</v>
      </c>
    </row>
    <row r="438" spans="1:4" x14ac:dyDescent="0.25">
      <c r="A438" t="s">
        <v>225</v>
      </c>
      <c r="B438" t="s">
        <v>226</v>
      </c>
      <c r="C438" t="s">
        <v>227</v>
      </c>
      <c r="D438" t="s">
        <v>900</v>
      </c>
    </row>
    <row r="439" spans="1:4" x14ac:dyDescent="0.25">
      <c r="A439" t="s">
        <v>228</v>
      </c>
      <c r="B439" t="s">
        <v>229</v>
      </c>
      <c r="C439" t="s">
        <v>230</v>
      </c>
      <c r="D439" t="s">
        <v>901</v>
      </c>
    </row>
    <row r="440" spans="1:4" x14ac:dyDescent="0.25">
      <c r="D440" t="s">
        <v>902</v>
      </c>
    </row>
    <row r="441" spans="1:4" x14ac:dyDescent="0.25">
      <c r="D441" t="s">
        <v>903</v>
      </c>
    </row>
    <row r="442" spans="1:4" x14ac:dyDescent="0.25">
      <c r="D442" t="s">
        <v>904</v>
      </c>
    </row>
    <row r="443" spans="1:4" x14ac:dyDescent="0.25">
      <c r="D443" t="s">
        <v>614</v>
      </c>
    </row>
    <row r="444" spans="1:4" x14ac:dyDescent="0.25">
      <c r="D444" t="s">
        <v>905</v>
      </c>
    </row>
    <row r="445" spans="1:4" x14ac:dyDescent="0.25">
      <c r="D445" t="s">
        <v>906</v>
      </c>
    </row>
    <row r="446" spans="1:4" x14ac:dyDescent="0.25">
      <c r="D446" t="s">
        <v>907</v>
      </c>
    </row>
    <row r="447" spans="1:4" x14ac:dyDescent="0.25">
      <c r="D447" t="s">
        <v>908</v>
      </c>
    </row>
    <row r="448" spans="1:4" x14ac:dyDescent="0.25">
      <c r="D448" t="s">
        <v>909</v>
      </c>
    </row>
    <row r="449" spans="1:4" x14ac:dyDescent="0.25">
      <c r="D449" t="s">
        <v>910</v>
      </c>
    </row>
    <row r="450" spans="1:4" x14ac:dyDescent="0.25">
      <c r="D450" t="s">
        <v>911</v>
      </c>
    </row>
    <row r="451" spans="1:4" x14ac:dyDescent="0.25">
      <c r="D451" t="s">
        <v>912</v>
      </c>
    </row>
    <row r="452" spans="1:4" x14ac:dyDescent="0.25">
      <c r="D452" t="s">
        <v>900</v>
      </c>
    </row>
    <row r="453" spans="1:4" x14ac:dyDescent="0.25">
      <c r="D453" t="s">
        <v>913</v>
      </c>
    </row>
    <row r="454" spans="1:4" x14ac:dyDescent="0.25">
      <c r="D454" t="s">
        <v>914</v>
      </c>
    </row>
    <row r="455" spans="1:4" x14ac:dyDescent="0.25">
      <c r="D455" t="s">
        <v>915</v>
      </c>
    </row>
    <row r="456" spans="1:4" x14ac:dyDescent="0.25">
      <c r="D456" t="s">
        <v>916</v>
      </c>
    </row>
    <row r="457" spans="1:4" x14ac:dyDescent="0.25">
      <c r="D457" t="s">
        <v>917</v>
      </c>
    </row>
    <row r="458" spans="1:4" x14ac:dyDescent="0.25">
      <c r="D458" t="s">
        <v>918</v>
      </c>
    </row>
    <row r="459" spans="1:4" x14ac:dyDescent="0.25">
      <c r="D459" t="s">
        <v>919</v>
      </c>
    </row>
    <row r="460" spans="1:4" x14ac:dyDescent="0.25">
      <c r="A460" t="s">
        <v>231</v>
      </c>
      <c r="B460" t="s">
        <v>232</v>
      </c>
      <c r="C460" t="s">
        <v>233</v>
      </c>
      <c r="D460" t="s">
        <v>918</v>
      </c>
    </row>
    <row r="461" spans="1:4" x14ac:dyDescent="0.25">
      <c r="A461" t="s">
        <v>234</v>
      </c>
      <c r="B461" t="s">
        <v>235</v>
      </c>
      <c r="C461" t="s">
        <v>236</v>
      </c>
      <c r="D461" t="s">
        <v>920</v>
      </c>
    </row>
    <row r="462" spans="1:4" x14ac:dyDescent="0.25">
      <c r="A462" t="s">
        <v>237</v>
      </c>
      <c r="B462" t="s">
        <v>238</v>
      </c>
      <c r="C462" t="s">
        <v>239</v>
      </c>
      <c r="D462" t="s">
        <v>453</v>
      </c>
    </row>
    <row r="463" spans="1:4" x14ac:dyDescent="0.25">
      <c r="A463" t="s">
        <v>240</v>
      </c>
      <c r="B463" t="s">
        <v>241</v>
      </c>
      <c r="C463" t="s">
        <v>242</v>
      </c>
      <c r="D463" t="s">
        <v>453</v>
      </c>
    </row>
    <row r="464" spans="1:4" x14ac:dyDescent="0.25">
      <c r="A464" t="s">
        <v>243</v>
      </c>
      <c r="B464" t="s">
        <v>244</v>
      </c>
      <c r="C464" t="s">
        <v>245</v>
      </c>
      <c r="D464" t="s">
        <v>477</v>
      </c>
    </row>
    <row r="465" spans="1:6" x14ac:dyDescent="0.25">
      <c r="A465" t="s">
        <v>246</v>
      </c>
      <c r="B465" t="s">
        <v>247</v>
      </c>
      <c r="C465" t="s">
        <v>248</v>
      </c>
      <c r="D465" t="s">
        <v>469</v>
      </c>
    </row>
    <row r="466" spans="1:6" x14ac:dyDescent="0.25">
      <c r="A466" t="s">
        <v>249</v>
      </c>
      <c r="B466" t="s">
        <v>250</v>
      </c>
      <c r="C466" t="s">
        <v>251</v>
      </c>
      <c r="D466" t="s">
        <v>614</v>
      </c>
      <c r="E466" t="s">
        <v>614</v>
      </c>
      <c r="F466" t="s">
        <v>904</v>
      </c>
    </row>
    <row r="467" spans="1:6" x14ac:dyDescent="0.25">
      <c r="D467" t="s">
        <v>910</v>
      </c>
      <c r="E467" t="s">
        <v>910</v>
      </c>
      <c r="F467" t="s">
        <v>913</v>
      </c>
    </row>
    <row r="468" spans="1:6" x14ac:dyDescent="0.25">
      <c r="D468" t="s">
        <v>902</v>
      </c>
      <c r="E468" t="s">
        <v>902</v>
      </c>
      <c r="F468" t="s">
        <v>910</v>
      </c>
    </row>
    <row r="469" spans="1:6" x14ac:dyDescent="0.25">
      <c r="D469" t="s">
        <v>917</v>
      </c>
      <c r="E469" t="s">
        <v>917</v>
      </c>
      <c r="F469" t="s">
        <v>902</v>
      </c>
    </row>
    <row r="470" spans="1:6" x14ac:dyDescent="0.25">
      <c r="D470" t="s">
        <v>903</v>
      </c>
      <c r="E470" t="s">
        <v>903</v>
      </c>
      <c r="F470" t="s">
        <v>614</v>
      </c>
    </row>
    <row r="471" spans="1:6" x14ac:dyDescent="0.25">
      <c r="D471" t="s">
        <v>921</v>
      </c>
      <c r="E471" t="s">
        <v>921</v>
      </c>
    </row>
    <row r="472" spans="1:6" x14ac:dyDescent="0.25">
      <c r="D472" t="s">
        <v>911</v>
      </c>
      <c r="E472" t="s">
        <v>911</v>
      </c>
    </row>
    <row r="473" spans="1:6" x14ac:dyDescent="0.25">
      <c r="D473" t="s">
        <v>904</v>
      </c>
      <c r="E473" t="s">
        <v>904</v>
      </c>
    </row>
    <row r="474" spans="1:6" x14ac:dyDescent="0.25">
      <c r="D474" t="s">
        <v>912</v>
      </c>
      <c r="E474" t="s">
        <v>912</v>
      </c>
    </row>
    <row r="475" spans="1:6" x14ac:dyDescent="0.25">
      <c r="A475" t="s">
        <v>252</v>
      </c>
      <c r="B475" t="s">
        <v>253</v>
      </c>
      <c r="C475" t="s">
        <v>254</v>
      </c>
      <c r="D475" t="s">
        <v>606</v>
      </c>
      <c r="E475" t="s">
        <v>902</v>
      </c>
    </row>
    <row r="476" spans="1:6" x14ac:dyDescent="0.25">
      <c r="E476" t="s">
        <v>912</v>
      </c>
    </row>
    <row r="477" spans="1:6" x14ac:dyDescent="0.25">
      <c r="E477" t="s">
        <v>917</v>
      </c>
    </row>
    <row r="478" spans="1:6" x14ac:dyDescent="0.25">
      <c r="E478" t="s">
        <v>908</v>
      </c>
    </row>
    <row r="479" spans="1:6" x14ac:dyDescent="0.25">
      <c r="E479" t="s">
        <v>909</v>
      </c>
    </row>
    <row r="480" spans="1:6" x14ac:dyDescent="0.25">
      <c r="E480" t="s">
        <v>911</v>
      </c>
    </row>
    <row r="481" spans="1:5" x14ac:dyDescent="0.25">
      <c r="E481" t="s">
        <v>919</v>
      </c>
    </row>
    <row r="482" spans="1:5" x14ac:dyDescent="0.25">
      <c r="E482" t="s">
        <v>904</v>
      </c>
    </row>
    <row r="483" spans="1:5" x14ac:dyDescent="0.25">
      <c r="E483" t="s">
        <v>910</v>
      </c>
    </row>
    <row r="484" spans="1:5" x14ac:dyDescent="0.25">
      <c r="A484" t="s">
        <v>255</v>
      </c>
      <c r="B484" t="s">
        <v>256</v>
      </c>
      <c r="C484" t="s">
        <v>257</v>
      </c>
      <c r="D484" t="s">
        <v>512</v>
      </c>
    </row>
    <row r="485" spans="1:5" x14ac:dyDescent="0.25">
      <c r="A485" t="s">
        <v>258</v>
      </c>
      <c r="B485" t="s">
        <v>259</v>
      </c>
      <c r="C485" t="s">
        <v>260</v>
      </c>
      <c r="D485" t="s">
        <v>510</v>
      </c>
    </row>
    <row r="486" spans="1:5" x14ac:dyDescent="0.25">
      <c r="A486" t="s">
        <v>261</v>
      </c>
      <c r="B486" t="s">
        <v>262</v>
      </c>
      <c r="C486" t="s">
        <v>263</v>
      </c>
      <c r="D486" t="s">
        <v>922</v>
      </c>
    </row>
    <row r="487" spans="1:5" x14ac:dyDescent="0.25">
      <c r="D487" t="s">
        <v>923</v>
      </c>
    </row>
    <row r="488" spans="1:5" x14ac:dyDescent="0.25">
      <c r="D488" t="s">
        <v>924</v>
      </c>
    </row>
    <row r="489" spans="1:5" x14ac:dyDescent="0.25">
      <c r="D489" t="s">
        <v>925</v>
      </c>
    </row>
    <row r="490" spans="1:5" x14ac:dyDescent="0.25">
      <c r="D490" t="s">
        <v>926</v>
      </c>
    </row>
    <row r="491" spans="1:5" x14ac:dyDescent="0.25">
      <c r="D491" t="s">
        <v>901</v>
      </c>
    </row>
    <row r="492" spans="1:5" x14ac:dyDescent="0.25">
      <c r="D492" t="s">
        <v>927</v>
      </c>
    </row>
    <row r="493" spans="1:5" x14ac:dyDescent="0.25">
      <c r="A493" t="s">
        <v>264</v>
      </c>
      <c r="B493" t="s">
        <v>265</v>
      </c>
      <c r="C493" t="s">
        <v>266</v>
      </c>
      <c r="D493" t="s">
        <v>510</v>
      </c>
    </row>
    <row r="494" spans="1:5" x14ac:dyDescent="0.25">
      <c r="A494" t="s">
        <v>267</v>
      </c>
      <c r="B494" t="s">
        <v>268</v>
      </c>
      <c r="C494" t="s">
        <v>269</v>
      </c>
      <c r="D494" t="s">
        <v>926</v>
      </c>
    </row>
    <row r="495" spans="1:5" x14ac:dyDescent="0.25">
      <c r="D495" t="s">
        <v>915</v>
      </c>
    </row>
    <row r="496" spans="1:5" x14ac:dyDescent="0.25">
      <c r="D496" t="s">
        <v>905</v>
      </c>
    </row>
    <row r="497" spans="1:4" x14ac:dyDescent="0.25">
      <c r="D497" t="s">
        <v>928</v>
      </c>
    </row>
    <row r="498" spans="1:4" x14ac:dyDescent="0.25">
      <c r="D498" t="s">
        <v>929</v>
      </c>
    </row>
    <row r="499" spans="1:4" x14ac:dyDescent="0.25">
      <c r="D499" t="s">
        <v>930</v>
      </c>
    </row>
    <row r="500" spans="1:4" x14ac:dyDescent="0.25">
      <c r="D500" t="s">
        <v>916</v>
      </c>
    </row>
    <row r="501" spans="1:4" x14ac:dyDescent="0.25">
      <c r="D501" t="s">
        <v>931</v>
      </c>
    </row>
    <row r="502" spans="1:4" x14ac:dyDescent="0.25">
      <c r="D502" t="s">
        <v>901</v>
      </c>
    </row>
    <row r="503" spans="1:4" x14ac:dyDescent="0.25">
      <c r="D503" t="s">
        <v>923</v>
      </c>
    </row>
    <row r="504" spans="1:4" x14ac:dyDescent="0.25">
      <c r="A504" t="s">
        <v>270</v>
      </c>
      <c r="B504" t="s">
        <v>271</v>
      </c>
      <c r="C504" t="s">
        <v>272</v>
      </c>
      <c r="D504" t="s">
        <v>612</v>
      </c>
    </row>
    <row r="505" spans="1:4" x14ac:dyDescent="0.25">
      <c r="A505" t="s">
        <v>273</v>
      </c>
      <c r="B505" t="s">
        <v>274</v>
      </c>
      <c r="C505" t="s">
        <v>275</v>
      </c>
      <c r="D505" t="s">
        <v>578</v>
      </c>
    </row>
    <row r="506" spans="1:4" x14ac:dyDescent="0.25">
      <c r="D506" t="s">
        <v>932</v>
      </c>
    </row>
    <row r="507" spans="1:4" x14ac:dyDescent="0.25">
      <c r="D507" t="s">
        <v>933</v>
      </c>
    </row>
    <row r="508" spans="1:4" x14ac:dyDescent="0.25">
      <c r="D508" t="s">
        <v>934</v>
      </c>
    </row>
    <row r="509" spans="1:4" x14ac:dyDescent="0.25">
      <c r="D509" t="s">
        <v>935</v>
      </c>
    </row>
    <row r="510" spans="1:4" x14ac:dyDescent="0.25">
      <c r="D510" t="s">
        <v>936</v>
      </c>
    </row>
    <row r="511" spans="1:4" x14ac:dyDescent="0.25">
      <c r="D511" t="s">
        <v>937</v>
      </c>
    </row>
    <row r="512" spans="1:4" x14ac:dyDescent="0.25">
      <c r="D512" t="s">
        <v>938</v>
      </c>
    </row>
    <row r="513" spans="1:5" x14ac:dyDescent="0.25">
      <c r="A513" t="s">
        <v>276</v>
      </c>
      <c r="B513" t="s">
        <v>277</v>
      </c>
      <c r="C513" t="s">
        <v>278</v>
      </c>
      <c r="D513" t="s">
        <v>937</v>
      </c>
    </row>
    <row r="514" spans="1:5" x14ac:dyDescent="0.25">
      <c r="D514" t="s">
        <v>578</v>
      </c>
    </row>
    <row r="515" spans="1:5" x14ac:dyDescent="0.25">
      <c r="D515" t="s">
        <v>936</v>
      </c>
    </row>
    <row r="516" spans="1:5" x14ac:dyDescent="0.25">
      <c r="D516" t="s">
        <v>939</v>
      </c>
    </row>
    <row r="517" spans="1:5" x14ac:dyDescent="0.25">
      <c r="D517" t="s">
        <v>940</v>
      </c>
    </row>
    <row r="518" spans="1:5" x14ac:dyDescent="0.25">
      <c r="D518" t="s">
        <v>941</v>
      </c>
    </row>
    <row r="519" spans="1:5" x14ac:dyDescent="0.25">
      <c r="D519" t="s">
        <v>942</v>
      </c>
    </row>
    <row r="520" spans="1:5" x14ac:dyDescent="0.25">
      <c r="A520" t="s">
        <v>280</v>
      </c>
      <c r="B520" t="s">
        <v>281</v>
      </c>
      <c r="C520" t="s">
        <v>282</v>
      </c>
      <c r="D520" t="s">
        <v>939</v>
      </c>
    </row>
    <row r="521" spans="1:5" x14ac:dyDescent="0.25">
      <c r="D521" t="s">
        <v>942</v>
      </c>
    </row>
    <row r="522" spans="1:5" x14ac:dyDescent="0.25">
      <c r="A522" t="s">
        <v>283</v>
      </c>
      <c r="B522" t="s">
        <v>284</v>
      </c>
      <c r="C522" t="s">
        <v>285</v>
      </c>
      <c r="D522" t="s">
        <v>943</v>
      </c>
      <c r="E522" t="s">
        <v>944</v>
      </c>
    </row>
    <row r="523" spans="1:5" x14ac:dyDescent="0.25">
      <c r="D523" t="s">
        <v>945</v>
      </c>
      <c r="E523" t="s">
        <v>935</v>
      </c>
    </row>
    <row r="524" spans="1:5" x14ac:dyDescent="0.25">
      <c r="D524" t="s">
        <v>944</v>
      </c>
      <c r="E524" t="s">
        <v>946</v>
      </c>
    </row>
    <row r="525" spans="1:5" x14ac:dyDescent="0.25">
      <c r="D525" t="s">
        <v>947</v>
      </c>
      <c r="E525" t="s">
        <v>948</v>
      </c>
    </row>
    <row r="526" spans="1:5" x14ac:dyDescent="0.25">
      <c r="D526" t="s">
        <v>949</v>
      </c>
      <c r="E526" t="s">
        <v>950</v>
      </c>
    </row>
    <row r="527" spans="1:5" x14ac:dyDescent="0.25">
      <c r="D527" t="s">
        <v>951</v>
      </c>
      <c r="E527" t="s">
        <v>952</v>
      </c>
    </row>
    <row r="528" spans="1:5" x14ac:dyDescent="0.25">
      <c r="D528" t="s">
        <v>934</v>
      </c>
      <c r="E528" t="s">
        <v>942</v>
      </c>
    </row>
    <row r="529" spans="4:5" x14ac:dyDescent="0.25">
      <c r="D529" t="s">
        <v>942</v>
      </c>
      <c r="E529" t="s">
        <v>953</v>
      </c>
    </row>
    <row r="530" spans="4:5" x14ac:dyDescent="0.25">
      <c r="D530" t="s">
        <v>954</v>
      </c>
      <c r="E530" t="s">
        <v>955</v>
      </c>
    </row>
    <row r="531" spans="4:5" x14ac:dyDescent="0.25">
      <c r="D531" t="s">
        <v>948</v>
      </c>
      <c r="E531" t="s">
        <v>956</v>
      </c>
    </row>
    <row r="532" spans="4:5" x14ac:dyDescent="0.25">
      <c r="D532" t="s">
        <v>952</v>
      </c>
      <c r="E532" t="s">
        <v>957</v>
      </c>
    </row>
    <row r="533" spans="4:5" x14ac:dyDescent="0.25">
      <c r="D533" t="s">
        <v>958</v>
      </c>
      <c r="E533" t="s">
        <v>949</v>
      </c>
    </row>
    <row r="534" spans="4:5" x14ac:dyDescent="0.25">
      <c r="D534" t="s">
        <v>959</v>
      </c>
      <c r="E534" t="s">
        <v>943</v>
      </c>
    </row>
    <row r="535" spans="4:5" x14ac:dyDescent="0.25">
      <c r="D535" t="s">
        <v>953</v>
      </c>
      <c r="E535" t="s">
        <v>960</v>
      </c>
    </row>
    <row r="536" spans="4:5" x14ac:dyDescent="0.25">
      <c r="D536" t="s">
        <v>957</v>
      </c>
      <c r="E536" t="s">
        <v>933</v>
      </c>
    </row>
    <row r="537" spans="4:5" x14ac:dyDescent="0.25">
      <c r="D537" t="s">
        <v>946</v>
      </c>
      <c r="E537" t="s">
        <v>951</v>
      </c>
    </row>
    <row r="538" spans="4:5" x14ac:dyDescent="0.25">
      <c r="D538" t="s">
        <v>961</v>
      </c>
      <c r="E538" t="s">
        <v>959</v>
      </c>
    </row>
    <row r="539" spans="4:5" x14ac:dyDescent="0.25">
      <c r="D539" t="s">
        <v>962</v>
      </c>
      <c r="E539" t="s">
        <v>945</v>
      </c>
    </row>
    <row r="540" spans="4:5" x14ac:dyDescent="0.25">
      <c r="D540" t="s">
        <v>963</v>
      </c>
      <c r="E540" t="s">
        <v>962</v>
      </c>
    </row>
    <row r="541" spans="4:5" x14ac:dyDescent="0.25">
      <c r="E541" t="s">
        <v>954</v>
      </c>
    </row>
    <row r="542" spans="4:5" x14ac:dyDescent="0.25">
      <c r="E542" t="s">
        <v>947</v>
      </c>
    </row>
    <row r="543" spans="4:5" x14ac:dyDescent="0.25">
      <c r="E543" t="s">
        <v>958</v>
      </c>
    </row>
    <row r="544" spans="4:5" x14ac:dyDescent="0.25">
      <c r="E544" t="s">
        <v>934</v>
      </c>
    </row>
    <row r="545" spans="1:4" x14ac:dyDescent="0.25">
      <c r="A545" t="s">
        <v>286</v>
      </c>
      <c r="B545" t="s">
        <v>287</v>
      </c>
      <c r="C545" t="s">
        <v>288</v>
      </c>
      <c r="D545" t="s">
        <v>933</v>
      </c>
    </row>
    <row r="546" spans="1:4" x14ac:dyDescent="0.25">
      <c r="D546" t="s">
        <v>905</v>
      </c>
    </row>
    <row r="547" spans="1:4" x14ac:dyDescent="0.25">
      <c r="D547" t="s">
        <v>964</v>
      </c>
    </row>
    <row r="548" spans="1:4" x14ac:dyDescent="0.25">
      <c r="D548" t="s">
        <v>936</v>
      </c>
    </row>
    <row r="549" spans="1:4" x14ac:dyDescent="0.25">
      <c r="D549" t="s">
        <v>579</v>
      </c>
    </row>
    <row r="550" spans="1:4" x14ac:dyDescent="0.25">
      <c r="D550" t="s">
        <v>559</v>
      </c>
    </row>
    <row r="551" spans="1:4" x14ac:dyDescent="0.25">
      <c r="D551" t="s">
        <v>575</v>
      </c>
    </row>
    <row r="552" spans="1:4" x14ac:dyDescent="0.25">
      <c r="D552" t="s">
        <v>937</v>
      </c>
    </row>
    <row r="553" spans="1:4" x14ac:dyDescent="0.25">
      <c r="D553" t="s">
        <v>948</v>
      </c>
    </row>
    <row r="554" spans="1:4" x14ac:dyDescent="0.25">
      <c r="D554" t="s">
        <v>941</v>
      </c>
    </row>
    <row r="555" spans="1:4" x14ac:dyDescent="0.25">
      <c r="D555" t="s">
        <v>932</v>
      </c>
    </row>
    <row r="556" spans="1:4" x14ac:dyDescent="0.25">
      <c r="D556" t="s">
        <v>935</v>
      </c>
    </row>
    <row r="557" spans="1:4" x14ac:dyDescent="0.25">
      <c r="D557" t="s">
        <v>938</v>
      </c>
    </row>
    <row r="558" spans="1:4" x14ac:dyDescent="0.25">
      <c r="D558" t="s">
        <v>942</v>
      </c>
    </row>
    <row r="559" spans="1:4" x14ac:dyDescent="0.25">
      <c r="D559" t="s">
        <v>578</v>
      </c>
    </row>
    <row r="560" spans="1:4" x14ac:dyDescent="0.25">
      <c r="D560" t="s">
        <v>940</v>
      </c>
    </row>
    <row r="561" spans="1:5" x14ac:dyDescent="0.25">
      <c r="D561" t="s">
        <v>965</v>
      </c>
    </row>
    <row r="562" spans="1:5" x14ac:dyDescent="0.25">
      <c r="A562" t="s">
        <v>289</v>
      </c>
      <c r="B562" t="s">
        <v>290</v>
      </c>
      <c r="C562" t="s">
        <v>291</v>
      </c>
      <c r="D562" t="s">
        <v>936</v>
      </c>
    </row>
    <row r="563" spans="1:5" x14ac:dyDescent="0.25">
      <c r="D563" t="s">
        <v>966</v>
      </c>
    </row>
    <row r="564" spans="1:5" x14ac:dyDescent="0.25">
      <c r="D564" t="s">
        <v>944</v>
      </c>
    </row>
    <row r="565" spans="1:5" x14ac:dyDescent="0.25">
      <c r="D565" t="s">
        <v>967</v>
      </c>
    </row>
    <row r="566" spans="1:5" x14ac:dyDescent="0.25">
      <c r="D566" t="s">
        <v>942</v>
      </c>
    </row>
    <row r="567" spans="1:5" x14ac:dyDescent="0.25">
      <c r="D567" t="s">
        <v>520</v>
      </c>
    </row>
    <row r="568" spans="1:5" x14ac:dyDescent="0.25">
      <c r="D568" t="s">
        <v>941</v>
      </c>
    </row>
    <row r="569" spans="1:5" x14ac:dyDescent="0.25">
      <c r="D569" t="s">
        <v>937</v>
      </c>
    </row>
    <row r="570" spans="1:5" x14ac:dyDescent="0.25">
      <c r="D570" t="s">
        <v>968</v>
      </c>
    </row>
    <row r="571" spans="1:5" x14ac:dyDescent="0.25">
      <c r="A571" t="s">
        <v>292</v>
      </c>
      <c r="B571" t="s">
        <v>293</v>
      </c>
      <c r="C571" t="s">
        <v>294</v>
      </c>
      <c r="D571" t="s">
        <v>934</v>
      </c>
      <c r="E571" t="s">
        <v>941</v>
      </c>
    </row>
    <row r="572" spans="1:5" x14ac:dyDescent="0.25">
      <c r="D572" t="s">
        <v>939</v>
      </c>
      <c r="E572" t="s">
        <v>578</v>
      </c>
    </row>
    <row r="573" spans="1:5" x14ac:dyDescent="0.25">
      <c r="D573" t="s">
        <v>944</v>
      </c>
      <c r="E573" t="s">
        <v>966</v>
      </c>
    </row>
    <row r="574" spans="1:5" x14ac:dyDescent="0.25">
      <c r="D574" t="s">
        <v>940</v>
      </c>
      <c r="E574" t="s">
        <v>938</v>
      </c>
    </row>
    <row r="575" spans="1:5" x14ac:dyDescent="0.25">
      <c r="D575" t="s">
        <v>938</v>
      </c>
      <c r="E575" t="s">
        <v>936</v>
      </c>
    </row>
    <row r="576" spans="1:5" x14ac:dyDescent="0.25">
      <c r="D576" t="s">
        <v>578</v>
      </c>
      <c r="E576" t="s">
        <v>939</v>
      </c>
    </row>
    <row r="577" spans="1:5" x14ac:dyDescent="0.25">
      <c r="D577" t="s">
        <v>936</v>
      </c>
      <c r="E577" t="s">
        <v>934</v>
      </c>
    </row>
    <row r="578" spans="1:5" x14ac:dyDescent="0.25">
      <c r="D578" t="s">
        <v>966</v>
      </c>
      <c r="E578" t="s">
        <v>937</v>
      </c>
    </row>
    <row r="579" spans="1:5" x14ac:dyDescent="0.25">
      <c r="D579" t="s">
        <v>937</v>
      </c>
      <c r="E579" t="s">
        <v>942</v>
      </c>
    </row>
    <row r="580" spans="1:5" x14ac:dyDescent="0.25">
      <c r="D580" t="s">
        <v>941</v>
      </c>
      <c r="E580" t="s">
        <v>940</v>
      </c>
    </row>
    <row r="581" spans="1:5" x14ac:dyDescent="0.25">
      <c r="D581" t="s">
        <v>942</v>
      </c>
      <c r="E581" t="s">
        <v>956</v>
      </c>
    </row>
    <row r="582" spans="1:5" x14ac:dyDescent="0.25">
      <c r="E582" t="s">
        <v>944</v>
      </c>
    </row>
    <row r="583" spans="1:5" x14ac:dyDescent="0.25">
      <c r="A583" t="s">
        <v>295</v>
      </c>
      <c r="B583" t="s">
        <v>296</v>
      </c>
      <c r="C583" t="s">
        <v>297</v>
      </c>
      <c r="D583" t="s">
        <v>950</v>
      </c>
      <c r="E583" t="s">
        <v>969</v>
      </c>
    </row>
    <row r="584" spans="1:5" x14ac:dyDescent="0.25">
      <c r="D584" t="s">
        <v>970</v>
      </c>
      <c r="E584" t="s">
        <v>971</v>
      </c>
    </row>
    <row r="585" spans="1:5" x14ac:dyDescent="0.25">
      <c r="D585" t="s">
        <v>955</v>
      </c>
      <c r="E585" t="s">
        <v>955</v>
      </c>
    </row>
    <row r="586" spans="1:5" x14ac:dyDescent="0.25">
      <c r="D586" t="s">
        <v>958</v>
      </c>
      <c r="E586" t="s">
        <v>958</v>
      </c>
    </row>
    <row r="587" spans="1:5" x14ac:dyDescent="0.25">
      <c r="D587" t="s">
        <v>972</v>
      </c>
      <c r="E587" t="s">
        <v>972</v>
      </c>
    </row>
    <row r="588" spans="1:5" x14ac:dyDescent="0.25">
      <c r="D588" t="s">
        <v>973</v>
      </c>
      <c r="E588" t="s">
        <v>973</v>
      </c>
    </row>
    <row r="589" spans="1:5" x14ac:dyDescent="0.25">
      <c r="D589" t="s">
        <v>974</v>
      </c>
      <c r="E589" t="s">
        <v>957</v>
      </c>
    </row>
    <row r="590" spans="1:5" x14ac:dyDescent="0.25">
      <c r="A590" t="s">
        <v>298</v>
      </c>
      <c r="B590" t="s">
        <v>299</v>
      </c>
      <c r="C590" t="s">
        <v>300</v>
      </c>
      <c r="D590" t="s">
        <v>975</v>
      </c>
    </row>
    <row r="591" spans="1:5" x14ac:dyDescent="0.25">
      <c r="D591" t="s">
        <v>976</v>
      </c>
    </row>
    <row r="592" spans="1:5" x14ac:dyDescent="0.25">
      <c r="D592" t="s">
        <v>947</v>
      </c>
    </row>
    <row r="593" spans="1:4" x14ac:dyDescent="0.25">
      <c r="D593" t="s">
        <v>977</v>
      </c>
    </row>
    <row r="594" spans="1:4" x14ac:dyDescent="0.25">
      <c r="A594" t="s">
        <v>301</v>
      </c>
      <c r="B594" t="s">
        <v>302</v>
      </c>
      <c r="C594" t="s">
        <v>303</v>
      </c>
      <c r="D594" t="s">
        <v>977</v>
      </c>
    </row>
    <row r="595" spans="1:4" x14ac:dyDescent="0.25">
      <c r="D595" t="s">
        <v>947</v>
      </c>
    </row>
    <row r="596" spans="1:4" x14ac:dyDescent="0.25">
      <c r="D596" t="s">
        <v>976</v>
      </c>
    </row>
    <row r="597" spans="1:4" x14ac:dyDescent="0.25">
      <c r="A597" t="s">
        <v>304</v>
      </c>
      <c r="B597" t="s">
        <v>305</v>
      </c>
      <c r="C597" t="s">
        <v>306</v>
      </c>
      <c r="D597" t="s">
        <v>977</v>
      </c>
    </row>
    <row r="598" spans="1:4" x14ac:dyDescent="0.25">
      <c r="D598" t="s">
        <v>978</v>
      </c>
    </row>
    <row r="599" spans="1:4" x14ac:dyDescent="0.25">
      <c r="D599" t="s">
        <v>947</v>
      </c>
    </row>
    <row r="600" spans="1:4" x14ac:dyDescent="0.25">
      <c r="A600" t="s">
        <v>307</v>
      </c>
      <c r="B600" t="s">
        <v>308</v>
      </c>
      <c r="C600" t="s">
        <v>309</v>
      </c>
      <c r="D600" t="s">
        <v>971</v>
      </c>
    </row>
    <row r="601" spans="1:4" x14ac:dyDescent="0.25">
      <c r="D601" t="s">
        <v>979</v>
      </c>
    </row>
    <row r="602" spans="1:4" x14ac:dyDescent="0.25">
      <c r="D602" t="s">
        <v>969</v>
      </c>
    </row>
    <row r="603" spans="1:4" x14ac:dyDescent="0.25">
      <c r="D603" t="s">
        <v>980</v>
      </c>
    </row>
    <row r="604" spans="1:4" x14ac:dyDescent="0.25">
      <c r="D604" t="s">
        <v>981</v>
      </c>
    </row>
    <row r="605" spans="1:4" x14ac:dyDescent="0.25">
      <c r="D605" t="s">
        <v>955</v>
      </c>
    </row>
    <row r="606" spans="1:4" x14ac:dyDescent="0.25">
      <c r="D606" t="s">
        <v>978</v>
      </c>
    </row>
    <row r="607" spans="1:4" x14ac:dyDescent="0.25">
      <c r="D607" t="s">
        <v>982</v>
      </c>
    </row>
    <row r="608" spans="1:4" x14ac:dyDescent="0.25">
      <c r="D608" t="s">
        <v>973</v>
      </c>
    </row>
    <row r="609" spans="1:4" x14ac:dyDescent="0.25">
      <c r="D609" t="s">
        <v>950</v>
      </c>
    </row>
    <row r="610" spans="1:4" x14ac:dyDescent="0.25">
      <c r="A610" t="s">
        <v>310</v>
      </c>
      <c r="B610" t="s">
        <v>311</v>
      </c>
      <c r="C610" t="s">
        <v>312</v>
      </c>
      <c r="D610" t="s">
        <v>971</v>
      </c>
    </row>
    <row r="611" spans="1:4" x14ac:dyDescent="0.25">
      <c r="D611" t="s">
        <v>977</v>
      </c>
    </row>
    <row r="612" spans="1:4" x14ac:dyDescent="0.25">
      <c r="D612" t="s">
        <v>973</v>
      </c>
    </row>
    <row r="613" spans="1:4" x14ac:dyDescent="0.25">
      <c r="D613" t="s">
        <v>976</v>
      </c>
    </row>
    <row r="614" spans="1:4" x14ac:dyDescent="0.25">
      <c r="D614" t="s">
        <v>947</v>
      </c>
    </row>
    <row r="615" spans="1:4" x14ac:dyDescent="0.25">
      <c r="D615" t="s">
        <v>970</v>
      </c>
    </row>
    <row r="616" spans="1:4" x14ac:dyDescent="0.25">
      <c r="D616" t="s">
        <v>983</v>
      </c>
    </row>
    <row r="617" spans="1:4" x14ac:dyDescent="0.25">
      <c r="A617" t="s">
        <v>313</v>
      </c>
      <c r="B617" t="s">
        <v>314</v>
      </c>
      <c r="C617" t="s">
        <v>315</v>
      </c>
      <c r="D617" t="s">
        <v>975</v>
      </c>
    </row>
    <row r="618" spans="1:4" x14ac:dyDescent="0.25">
      <c r="D618" t="s">
        <v>977</v>
      </c>
    </row>
    <row r="619" spans="1:4" x14ac:dyDescent="0.25">
      <c r="D619" t="s">
        <v>971</v>
      </c>
    </row>
    <row r="620" spans="1:4" x14ac:dyDescent="0.25">
      <c r="D620" t="s">
        <v>955</v>
      </c>
    </row>
    <row r="621" spans="1:4" x14ac:dyDescent="0.25">
      <c r="D621" t="s">
        <v>983</v>
      </c>
    </row>
    <row r="622" spans="1:4" x14ac:dyDescent="0.25">
      <c r="D622" t="s">
        <v>976</v>
      </c>
    </row>
    <row r="623" spans="1:4" x14ac:dyDescent="0.25">
      <c r="D623" t="s">
        <v>947</v>
      </c>
    </row>
    <row r="624" spans="1:4" x14ac:dyDescent="0.25">
      <c r="A624" t="s">
        <v>316</v>
      </c>
      <c r="B624" t="s">
        <v>317</v>
      </c>
      <c r="C624" t="s">
        <v>318</v>
      </c>
      <c r="D624" t="s">
        <v>582</v>
      </c>
    </row>
    <row r="625" spans="1:4" x14ac:dyDescent="0.25">
      <c r="A625" t="s">
        <v>319</v>
      </c>
      <c r="B625" t="s">
        <v>320</v>
      </c>
      <c r="C625" t="s">
        <v>321</v>
      </c>
      <c r="D625" t="s">
        <v>942</v>
      </c>
    </row>
    <row r="626" spans="1:4" x14ac:dyDescent="0.25">
      <c r="D626" t="s">
        <v>984</v>
      </c>
    </row>
    <row r="627" spans="1:4" x14ac:dyDescent="0.25">
      <c r="D627" t="s">
        <v>985</v>
      </c>
    </row>
    <row r="628" spans="1:4" x14ac:dyDescent="0.25">
      <c r="D628" t="s">
        <v>986</v>
      </c>
    </row>
    <row r="629" spans="1:4" x14ac:dyDescent="0.25">
      <c r="D629" t="s">
        <v>944</v>
      </c>
    </row>
    <row r="630" spans="1:4" x14ac:dyDescent="0.25">
      <c r="A630" t="s">
        <v>322</v>
      </c>
      <c r="B630" t="s">
        <v>323</v>
      </c>
      <c r="C630" t="s">
        <v>324</v>
      </c>
      <c r="D630" t="s">
        <v>943</v>
      </c>
    </row>
    <row r="631" spans="1:4" x14ac:dyDescent="0.25">
      <c r="D631" t="s">
        <v>946</v>
      </c>
    </row>
    <row r="632" spans="1:4" x14ac:dyDescent="0.25">
      <c r="D632" t="s">
        <v>987</v>
      </c>
    </row>
    <row r="633" spans="1:4" x14ac:dyDescent="0.25">
      <c r="D633" t="s">
        <v>952</v>
      </c>
    </row>
    <row r="634" spans="1:4" x14ac:dyDescent="0.25">
      <c r="D634" t="s">
        <v>942</v>
      </c>
    </row>
    <row r="635" spans="1:4" x14ac:dyDescent="0.25">
      <c r="D635" t="s">
        <v>988</v>
      </c>
    </row>
    <row r="636" spans="1:4" x14ac:dyDescent="0.25">
      <c r="D636" t="s">
        <v>985</v>
      </c>
    </row>
    <row r="637" spans="1:4" x14ac:dyDescent="0.25">
      <c r="D637" t="s">
        <v>989</v>
      </c>
    </row>
    <row r="638" spans="1:4" x14ac:dyDescent="0.25">
      <c r="D638" t="s">
        <v>960</v>
      </c>
    </row>
    <row r="639" spans="1:4" x14ac:dyDescent="0.25">
      <c r="D639" t="s">
        <v>990</v>
      </c>
    </row>
    <row r="640" spans="1:4" x14ac:dyDescent="0.25">
      <c r="D640" t="s">
        <v>991</v>
      </c>
    </row>
    <row r="641" spans="1:4" x14ac:dyDescent="0.25">
      <c r="D641" t="s">
        <v>992</v>
      </c>
    </row>
    <row r="642" spans="1:4" x14ac:dyDescent="0.25">
      <c r="D642" t="s">
        <v>993</v>
      </c>
    </row>
    <row r="643" spans="1:4" x14ac:dyDescent="0.25">
      <c r="D643" t="s">
        <v>994</v>
      </c>
    </row>
    <row r="644" spans="1:4" x14ac:dyDescent="0.25">
      <c r="D644" t="s">
        <v>995</v>
      </c>
    </row>
    <row r="645" spans="1:4" x14ac:dyDescent="0.25">
      <c r="D645" t="s">
        <v>996</v>
      </c>
    </row>
    <row r="646" spans="1:4" x14ac:dyDescent="0.25">
      <c r="D646" t="s">
        <v>997</v>
      </c>
    </row>
    <row r="647" spans="1:4" x14ac:dyDescent="0.25">
      <c r="D647" t="s">
        <v>998</v>
      </c>
    </row>
    <row r="648" spans="1:4" x14ac:dyDescent="0.25">
      <c r="D648" t="s">
        <v>984</v>
      </c>
    </row>
    <row r="649" spans="1:4" x14ac:dyDescent="0.25">
      <c r="D649" t="s">
        <v>999</v>
      </c>
    </row>
    <row r="650" spans="1:4" x14ac:dyDescent="0.25">
      <c r="D650" t="s">
        <v>1000</v>
      </c>
    </row>
    <row r="651" spans="1:4" x14ac:dyDescent="0.25">
      <c r="D651" t="s">
        <v>944</v>
      </c>
    </row>
    <row r="652" spans="1:4" x14ac:dyDescent="0.25">
      <c r="D652" t="s">
        <v>1001</v>
      </c>
    </row>
    <row r="653" spans="1:4" x14ac:dyDescent="0.25">
      <c r="D653" t="s">
        <v>1002</v>
      </c>
    </row>
    <row r="654" spans="1:4" x14ac:dyDescent="0.25">
      <c r="A654" t="s">
        <v>325</v>
      </c>
      <c r="B654" t="s">
        <v>326</v>
      </c>
      <c r="C654" t="s">
        <v>327</v>
      </c>
      <c r="D654" t="s">
        <v>945</v>
      </c>
    </row>
    <row r="655" spans="1:4" x14ac:dyDescent="0.25">
      <c r="D655" t="s">
        <v>988</v>
      </c>
    </row>
    <row r="656" spans="1:4" x14ac:dyDescent="0.25">
      <c r="D656" t="s">
        <v>984</v>
      </c>
    </row>
    <row r="657" spans="1:6" x14ac:dyDescent="0.25">
      <c r="D657" t="s">
        <v>986</v>
      </c>
    </row>
    <row r="658" spans="1:6" x14ac:dyDescent="0.25">
      <c r="D658" t="s">
        <v>989</v>
      </c>
    </row>
    <row r="659" spans="1:6" x14ac:dyDescent="0.25">
      <c r="D659" t="s">
        <v>1003</v>
      </c>
    </row>
    <row r="660" spans="1:6" x14ac:dyDescent="0.25">
      <c r="D660" t="s">
        <v>946</v>
      </c>
    </row>
    <row r="661" spans="1:6" x14ac:dyDescent="0.25">
      <c r="D661" t="s">
        <v>996</v>
      </c>
    </row>
    <row r="662" spans="1:6" x14ac:dyDescent="0.25">
      <c r="D662" t="s">
        <v>990</v>
      </c>
    </row>
    <row r="663" spans="1:6" x14ac:dyDescent="0.25">
      <c r="D663" t="s">
        <v>966</v>
      </c>
    </row>
    <row r="664" spans="1:6" x14ac:dyDescent="0.25">
      <c r="D664" t="s">
        <v>952</v>
      </c>
    </row>
    <row r="665" spans="1:6" x14ac:dyDescent="0.25">
      <c r="D665" t="s">
        <v>1004</v>
      </c>
    </row>
    <row r="666" spans="1:6" x14ac:dyDescent="0.25">
      <c r="D666" t="s">
        <v>995</v>
      </c>
    </row>
    <row r="667" spans="1:6" x14ac:dyDescent="0.25">
      <c r="D667" t="s">
        <v>999</v>
      </c>
    </row>
    <row r="668" spans="1:6" x14ac:dyDescent="0.25">
      <c r="D668" t="s">
        <v>1005</v>
      </c>
    </row>
    <row r="669" spans="1:6" x14ac:dyDescent="0.25">
      <c r="D669" t="s">
        <v>951</v>
      </c>
    </row>
    <row r="670" spans="1:6" x14ac:dyDescent="0.25">
      <c r="D670" t="s">
        <v>985</v>
      </c>
    </row>
    <row r="671" spans="1:6" x14ac:dyDescent="0.25">
      <c r="A671" t="s">
        <v>328</v>
      </c>
      <c r="B671" t="s">
        <v>329</v>
      </c>
      <c r="C671" t="s">
        <v>330</v>
      </c>
      <c r="D671" t="s">
        <v>952</v>
      </c>
      <c r="E671" t="s">
        <v>952</v>
      </c>
      <c r="F671" t="s">
        <v>984</v>
      </c>
    </row>
    <row r="672" spans="1:6" x14ac:dyDescent="0.25">
      <c r="D672" t="s">
        <v>999</v>
      </c>
      <c r="E672" t="s">
        <v>999</v>
      </c>
      <c r="F672" t="s">
        <v>986</v>
      </c>
    </row>
    <row r="673" spans="1:6" x14ac:dyDescent="0.25">
      <c r="D673" t="s">
        <v>986</v>
      </c>
      <c r="E673" t="s">
        <v>986</v>
      </c>
      <c r="F673" t="s">
        <v>952</v>
      </c>
    </row>
    <row r="674" spans="1:6" x14ac:dyDescent="0.25">
      <c r="D674" t="s">
        <v>951</v>
      </c>
      <c r="E674" t="s">
        <v>951</v>
      </c>
      <c r="F674" t="s">
        <v>999</v>
      </c>
    </row>
    <row r="675" spans="1:6" x14ac:dyDescent="0.25">
      <c r="D675" t="s">
        <v>984</v>
      </c>
      <c r="E675" t="s">
        <v>984</v>
      </c>
      <c r="F675" t="s">
        <v>985</v>
      </c>
    </row>
    <row r="676" spans="1:6" x14ac:dyDescent="0.25">
      <c r="D676" t="s">
        <v>985</v>
      </c>
      <c r="E676" t="s">
        <v>985</v>
      </c>
      <c r="F676" t="s">
        <v>1006</v>
      </c>
    </row>
    <row r="677" spans="1:6" x14ac:dyDescent="0.25">
      <c r="D677" t="s">
        <v>1005</v>
      </c>
      <c r="E677" t="s">
        <v>1005</v>
      </c>
    </row>
    <row r="678" spans="1:6" x14ac:dyDescent="0.25">
      <c r="A678" t="s">
        <v>331</v>
      </c>
      <c r="B678" t="s">
        <v>332</v>
      </c>
      <c r="C678" t="s">
        <v>333</v>
      </c>
      <c r="D678" t="s">
        <v>1007</v>
      </c>
    </row>
    <row r="679" spans="1:6" x14ac:dyDescent="0.25">
      <c r="D679" t="s">
        <v>948</v>
      </c>
    </row>
    <row r="680" spans="1:6" x14ac:dyDescent="0.25">
      <c r="D680" t="s">
        <v>1008</v>
      </c>
    </row>
    <row r="681" spans="1:6" x14ac:dyDescent="0.25">
      <c r="D681" t="s">
        <v>1009</v>
      </c>
    </row>
    <row r="682" spans="1:6" x14ac:dyDescent="0.25">
      <c r="A682" t="s">
        <v>334</v>
      </c>
      <c r="B682" t="s">
        <v>335</v>
      </c>
      <c r="C682" t="s">
        <v>336</v>
      </c>
      <c r="D682" t="s">
        <v>957</v>
      </c>
    </row>
    <row r="683" spans="1:6" x14ac:dyDescent="0.25">
      <c r="D683" t="s">
        <v>948</v>
      </c>
    </row>
    <row r="684" spans="1:6" x14ac:dyDescent="0.25">
      <c r="D684" t="s">
        <v>1008</v>
      </c>
    </row>
    <row r="685" spans="1:6" x14ac:dyDescent="0.25">
      <c r="D685" t="s">
        <v>958</v>
      </c>
    </row>
    <row r="686" spans="1:6" x14ac:dyDescent="0.25">
      <c r="D686" t="s">
        <v>975</v>
      </c>
    </row>
    <row r="687" spans="1:6" x14ac:dyDescent="0.25">
      <c r="D687" t="s">
        <v>1007</v>
      </c>
    </row>
    <row r="688" spans="1:6" x14ac:dyDescent="0.25">
      <c r="D688" t="s">
        <v>1010</v>
      </c>
    </row>
    <row r="689" spans="1:7" x14ac:dyDescent="0.25">
      <c r="D689" t="s">
        <v>970</v>
      </c>
    </row>
    <row r="690" spans="1:7" x14ac:dyDescent="0.25">
      <c r="D690" t="s">
        <v>954</v>
      </c>
    </row>
    <row r="691" spans="1:7" x14ac:dyDescent="0.25">
      <c r="A691" t="s">
        <v>337</v>
      </c>
      <c r="B691" t="s">
        <v>338</v>
      </c>
      <c r="C691" t="s">
        <v>339</v>
      </c>
      <c r="D691" t="s">
        <v>975</v>
      </c>
      <c r="G691" t="s">
        <v>975</v>
      </c>
    </row>
    <row r="692" spans="1:7" x14ac:dyDescent="0.25">
      <c r="D692" t="s">
        <v>1010</v>
      </c>
      <c r="G692" t="s">
        <v>947</v>
      </c>
    </row>
    <row r="693" spans="1:7" x14ac:dyDescent="0.25">
      <c r="D693" t="s">
        <v>948</v>
      </c>
      <c r="G693" t="s">
        <v>970</v>
      </c>
    </row>
    <row r="694" spans="1:7" x14ac:dyDescent="0.25">
      <c r="D694" t="s">
        <v>947</v>
      </c>
      <c r="G694" t="s">
        <v>948</v>
      </c>
    </row>
    <row r="695" spans="1:7" x14ac:dyDescent="0.25">
      <c r="D695" t="s">
        <v>970</v>
      </c>
      <c r="G695" t="s">
        <v>948</v>
      </c>
    </row>
    <row r="696" spans="1:7" x14ac:dyDescent="0.25">
      <c r="A696" t="s">
        <v>340</v>
      </c>
      <c r="B696" t="s">
        <v>341</v>
      </c>
      <c r="C696" t="s">
        <v>342</v>
      </c>
      <c r="D696" t="s">
        <v>1011</v>
      </c>
      <c r="G696" t="s">
        <v>1010</v>
      </c>
    </row>
    <row r="697" spans="1:7" x14ac:dyDescent="0.25">
      <c r="D697" t="s">
        <v>1012</v>
      </c>
    </row>
    <row r="698" spans="1:7" x14ac:dyDescent="0.25">
      <c r="D698" t="s">
        <v>1013</v>
      </c>
    </row>
    <row r="699" spans="1:7" x14ac:dyDescent="0.25">
      <c r="D699" t="s">
        <v>1009</v>
      </c>
    </row>
    <row r="700" spans="1:7" x14ac:dyDescent="0.25">
      <c r="A700" t="s">
        <v>343</v>
      </c>
      <c r="B700" t="s">
        <v>344</v>
      </c>
      <c r="C700" t="s">
        <v>345</v>
      </c>
      <c r="D700" t="s">
        <v>1014</v>
      </c>
    </row>
    <row r="701" spans="1:7" x14ac:dyDescent="0.25">
      <c r="D701" t="s">
        <v>1011</v>
      </c>
    </row>
    <row r="702" spans="1:7" x14ac:dyDescent="0.25">
      <c r="D702" t="s">
        <v>1009</v>
      </c>
      <c r="E702" t="s">
        <v>1012</v>
      </c>
    </row>
    <row r="703" spans="1:7" x14ac:dyDescent="0.25">
      <c r="D703" t="s">
        <v>1015</v>
      </c>
    </row>
    <row r="704" spans="1:7" x14ac:dyDescent="0.25">
      <c r="D704" t="s">
        <v>1016</v>
      </c>
    </row>
    <row r="705" spans="1:4" x14ac:dyDescent="0.25">
      <c r="D705" t="s">
        <v>1017</v>
      </c>
    </row>
    <row r="706" spans="1:4" x14ac:dyDescent="0.25">
      <c r="D706" t="s">
        <v>1018</v>
      </c>
    </row>
    <row r="707" spans="1:4" x14ac:dyDescent="0.25">
      <c r="D707" t="s">
        <v>948</v>
      </c>
    </row>
    <row r="708" spans="1:4" x14ac:dyDescent="0.25">
      <c r="A708" t="s">
        <v>346</v>
      </c>
      <c r="B708" t="s">
        <v>347</v>
      </c>
      <c r="C708" t="s">
        <v>348</v>
      </c>
      <c r="D708" t="s">
        <v>1019</v>
      </c>
    </row>
    <row r="709" spans="1:4" x14ac:dyDescent="0.25">
      <c r="D709" t="s">
        <v>1020</v>
      </c>
    </row>
    <row r="710" spans="1:4" x14ac:dyDescent="0.25">
      <c r="D710" t="s">
        <v>1021</v>
      </c>
    </row>
    <row r="711" spans="1:4" x14ac:dyDescent="0.25">
      <c r="D711" t="s">
        <v>517</v>
      </c>
    </row>
    <row r="712" spans="1:4" x14ac:dyDescent="0.25">
      <c r="D712" t="s">
        <v>1017</v>
      </c>
    </row>
    <row r="713" spans="1:4" x14ac:dyDescent="0.25">
      <c r="D713" t="s">
        <v>1022</v>
      </c>
    </row>
    <row r="714" spans="1:4" x14ac:dyDescent="0.25">
      <c r="D714" t="s">
        <v>1013</v>
      </c>
    </row>
    <row r="715" spans="1:4" x14ac:dyDescent="0.25">
      <c r="D715" t="s">
        <v>1023</v>
      </c>
    </row>
    <row r="716" spans="1:4" x14ac:dyDescent="0.25">
      <c r="D716" t="s">
        <v>1011</v>
      </c>
    </row>
    <row r="717" spans="1:4" x14ac:dyDescent="0.25">
      <c r="D717" t="s">
        <v>1014</v>
      </c>
    </row>
    <row r="718" spans="1:4" x14ac:dyDescent="0.25">
      <c r="D718" t="s">
        <v>1009</v>
      </c>
    </row>
    <row r="719" spans="1:4" x14ac:dyDescent="0.25">
      <c r="D719" t="s">
        <v>1024</v>
      </c>
    </row>
    <row r="720" spans="1:4" x14ac:dyDescent="0.25">
      <c r="D720" t="s">
        <v>1012</v>
      </c>
    </row>
    <row r="721" spans="1:4" x14ac:dyDescent="0.25">
      <c r="D721" t="s">
        <v>1025</v>
      </c>
    </row>
    <row r="722" spans="1:4" x14ac:dyDescent="0.25">
      <c r="D722" t="s">
        <v>970</v>
      </c>
    </row>
    <row r="723" spans="1:4" x14ac:dyDescent="0.25">
      <c r="A723" t="s">
        <v>349</v>
      </c>
      <c r="B723" t="s">
        <v>350</v>
      </c>
      <c r="C723" t="s">
        <v>351</v>
      </c>
      <c r="D723" t="s">
        <v>1012</v>
      </c>
    </row>
    <row r="724" spans="1:4" x14ac:dyDescent="0.25">
      <c r="D724" t="s">
        <v>1014</v>
      </c>
    </row>
    <row r="725" spans="1:4" x14ac:dyDescent="0.25">
      <c r="D725" t="s">
        <v>1011</v>
      </c>
    </row>
    <row r="726" spans="1:4" x14ac:dyDescent="0.25">
      <c r="D726" t="s">
        <v>1009</v>
      </c>
    </row>
    <row r="727" spans="1:4" x14ac:dyDescent="0.25">
      <c r="D727" t="s">
        <v>1015</v>
      </c>
    </row>
    <row r="728" spans="1:4" x14ac:dyDescent="0.25">
      <c r="D728" t="s">
        <v>1016</v>
      </c>
    </row>
    <row r="729" spans="1:4" x14ac:dyDescent="0.25">
      <c r="D729" t="s">
        <v>1017</v>
      </c>
    </row>
    <row r="730" spans="1:4" x14ac:dyDescent="0.25">
      <c r="D730" t="s">
        <v>1018</v>
      </c>
    </row>
    <row r="731" spans="1:4" x14ac:dyDescent="0.25">
      <c r="D731" t="s">
        <v>1013</v>
      </c>
    </row>
    <row r="732" spans="1:4" x14ac:dyDescent="0.25">
      <c r="A732" t="s">
        <v>352</v>
      </c>
      <c r="B732" t="s">
        <v>353</v>
      </c>
      <c r="C732" t="s">
        <v>354</v>
      </c>
      <c r="D732" t="s">
        <v>1013</v>
      </c>
    </row>
    <row r="733" spans="1:4" x14ac:dyDescent="0.25">
      <c r="D733" t="s">
        <v>1012</v>
      </c>
    </row>
    <row r="734" spans="1:4" x14ac:dyDescent="0.25">
      <c r="D734" t="s">
        <v>1014</v>
      </c>
    </row>
    <row r="735" spans="1:4" x14ac:dyDescent="0.25">
      <c r="D735" t="s">
        <v>1011</v>
      </c>
    </row>
    <row r="736" spans="1:4" x14ac:dyDescent="0.25">
      <c r="D736" t="s">
        <v>1015</v>
      </c>
    </row>
    <row r="737" spans="1:5" x14ac:dyDescent="0.25">
      <c r="D737" t="s">
        <v>1016</v>
      </c>
    </row>
    <row r="738" spans="1:5" x14ac:dyDescent="0.25">
      <c r="D738" t="s">
        <v>1017</v>
      </c>
    </row>
    <row r="739" spans="1:5" x14ac:dyDescent="0.25">
      <c r="D739" t="s">
        <v>1018</v>
      </c>
    </row>
    <row r="740" spans="1:5" x14ac:dyDescent="0.25">
      <c r="D740" t="s">
        <v>1010</v>
      </c>
    </row>
    <row r="741" spans="1:5" x14ac:dyDescent="0.25">
      <c r="A741" t="s">
        <v>355</v>
      </c>
      <c r="B741" t="s">
        <v>356</v>
      </c>
      <c r="C741" t="s">
        <v>357</v>
      </c>
      <c r="D741" t="s">
        <v>1012</v>
      </c>
    </row>
    <row r="742" spans="1:5" x14ac:dyDescent="0.25">
      <c r="D742" t="s">
        <v>1022</v>
      </c>
    </row>
    <row r="743" spans="1:5" x14ac:dyDescent="0.25">
      <c r="D743" t="s">
        <v>1013</v>
      </c>
    </row>
    <row r="744" spans="1:5" x14ac:dyDescent="0.25">
      <c r="D744" t="s">
        <v>1011</v>
      </c>
    </row>
    <row r="745" spans="1:5" x14ac:dyDescent="0.25">
      <c r="D745" t="s">
        <v>1021</v>
      </c>
    </row>
    <row r="746" spans="1:5" x14ac:dyDescent="0.25">
      <c r="D746" t="s">
        <v>949</v>
      </c>
    </row>
    <row r="747" spans="1:5" x14ac:dyDescent="0.25">
      <c r="A747" t="s">
        <v>358</v>
      </c>
      <c r="B747" t="s">
        <v>359</v>
      </c>
      <c r="C747" t="s">
        <v>360</v>
      </c>
      <c r="D747" t="s">
        <v>1010</v>
      </c>
      <c r="E747" t="s">
        <v>951</v>
      </c>
    </row>
    <row r="748" spans="1:5" x14ac:dyDescent="0.25">
      <c r="D748" t="s">
        <v>1011</v>
      </c>
    </row>
    <row r="749" spans="1:5" x14ac:dyDescent="0.25">
      <c r="D749" t="s">
        <v>1017</v>
      </c>
    </row>
    <row r="750" spans="1:5" x14ac:dyDescent="0.25">
      <c r="D750" t="s">
        <v>1012</v>
      </c>
    </row>
    <row r="751" spans="1:5" x14ac:dyDescent="0.25">
      <c r="D751" t="s">
        <v>1013</v>
      </c>
    </row>
    <row r="752" spans="1:5" x14ac:dyDescent="0.25">
      <c r="A752" t="s">
        <v>361</v>
      </c>
      <c r="B752" t="s">
        <v>362</v>
      </c>
      <c r="C752" t="s">
        <v>363</v>
      </c>
      <c r="D752" t="s">
        <v>1026</v>
      </c>
    </row>
    <row r="753" spans="1:4" x14ac:dyDescent="0.25">
      <c r="D753" t="s">
        <v>1027</v>
      </c>
    </row>
    <row r="754" spans="1:4" x14ac:dyDescent="0.25">
      <c r="D754" t="s">
        <v>560</v>
      </c>
    </row>
    <row r="755" spans="1:4" x14ac:dyDescent="0.25">
      <c r="D755" t="s">
        <v>1028</v>
      </c>
    </row>
    <row r="756" spans="1:4" x14ac:dyDescent="0.25">
      <c r="D756" t="s">
        <v>1029</v>
      </c>
    </row>
    <row r="757" spans="1:4" x14ac:dyDescent="0.25">
      <c r="D757" t="s">
        <v>1030</v>
      </c>
    </row>
    <row r="758" spans="1:4" x14ac:dyDescent="0.25">
      <c r="D758" t="s">
        <v>1031</v>
      </c>
    </row>
    <row r="759" spans="1:4" x14ac:dyDescent="0.25">
      <c r="D759" t="s">
        <v>1032</v>
      </c>
    </row>
    <row r="760" spans="1:4" x14ac:dyDescent="0.25">
      <c r="D760" t="s">
        <v>1033</v>
      </c>
    </row>
    <row r="761" spans="1:4" x14ac:dyDescent="0.25">
      <c r="D761" t="s">
        <v>1034</v>
      </c>
    </row>
    <row r="762" spans="1:4" x14ac:dyDescent="0.25">
      <c r="D762" t="s">
        <v>996</v>
      </c>
    </row>
    <row r="763" spans="1:4" x14ac:dyDescent="0.25">
      <c r="A763" t="s">
        <v>364</v>
      </c>
      <c r="B763" t="s">
        <v>365</v>
      </c>
      <c r="C763" t="s">
        <v>366</v>
      </c>
      <c r="D763" t="s">
        <v>1035</v>
      </c>
    </row>
    <row r="764" spans="1:4" x14ac:dyDescent="0.25">
      <c r="A764" t="s">
        <v>367</v>
      </c>
      <c r="B764" t="s">
        <v>368</v>
      </c>
      <c r="C764" t="s">
        <v>369</v>
      </c>
      <c r="D764" t="s">
        <v>1036</v>
      </c>
    </row>
    <row r="765" spans="1:4" x14ac:dyDescent="0.25">
      <c r="A765" t="s">
        <v>370</v>
      </c>
      <c r="B765" t="s">
        <v>371</v>
      </c>
      <c r="C765" t="s">
        <v>372</v>
      </c>
      <c r="D765" t="s">
        <v>993</v>
      </c>
    </row>
    <row r="766" spans="1:4" x14ac:dyDescent="0.25">
      <c r="A766" t="s">
        <v>373</v>
      </c>
      <c r="B766" t="s">
        <v>374</v>
      </c>
      <c r="C766" t="s">
        <v>375</v>
      </c>
      <c r="D766" t="s">
        <v>1031</v>
      </c>
    </row>
    <row r="767" spans="1:4" x14ac:dyDescent="0.25">
      <c r="D767" t="s">
        <v>1037</v>
      </c>
    </row>
    <row r="768" spans="1:4" x14ac:dyDescent="0.25">
      <c r="D768" t="s">
        <v>1038</v>
      </c>
    </row>
    <row r="769" spans="1:4" x14ac:dyDescent="0.25">
      <c r="D769" t="s">
        <v>1039</v>
      </c>
    </row>
    <row r="770" spans="1:4" x14ac:dyDescent="0.25">
      <c r="D770" t="s">
        <v>1026</v>
      </c>
    </row>
    <row r="771" spans="1:4" x14ac:dyDescent="0.25">
      <c r="D771" t="s">
        <v>1030</v>
      </c>
    </row>
    <row r="772" spans="1:4" x14ac:dyDescent="0.25">
      <c r="D772" t="s">
        <v>1003</v>
      </c>
    </row>
    <row r="773" spans="1:4" x14ac:dyDescent="0.25">
      <c r="A773" t="s">
        <v>376</v>
      </c>
      <c r="B773" t="s">
        <v>377</v>
      </c>
      <c r="C773" t="s">
        <v>378</v>
      </c>
      <c r="D773" t="s">
        <v>1028</v>
      </c>
    </row>
    <row r="774" spans="1:4" x14ac:dyDescent="0.25">
      <c r="D774" t="s">
        <v>1039</v>
      </c>
    </row>
    <row r="775" spans="1:4" x14ac:dyDescent="0.25">
      <c r="D775" t="s">
        <v>1034</v>
      </c>
    </row>
    <row r="776" spans="1:4" x14ac:dyDescent="0.25">
      <c r="D776" t="s">
        <v>1040</v>
      </c>
    </row>
    <row r="777" spans="1:4" x14ac:dyDescent="0.25">
      <c r="A777" t="s">
        <v>379</v>
      </c>
      <c r="B777" t="s">
        <v>380</v>
      </c>
      <c r="C777" t="s">
        <v>381</v>
      </c>
      <c r="D777" t="s">
        <v>1039</v>
      </c>
    </row>
    <row r="778" spans="1:4" x14ac:dyDescent="0.25">
      <c r="D778" t="s">
        <v>1026</v>
      </c>
    </row>
    <row r="779" spans="1:4" x14ac:dyDescent="0.25">
      <c r="D779" t="s">
        <v>1027</v>
      </c>
    </row>
    <row r="780" spans="1:4" x14ac:dyDescent="0.25">
      <c r="D780" t="s">
        <v>560</v>
      </c>
    </row>
    <row r="781" spans="1:4" x14ac:dyDescent="0.25">
      <c r="A781" t="s">
        <v>382</v>
      </c>
      <c r="B781" t="s">
        <v>383</v>
      </c>
      <c r="C781" t="s">
        <v>384</v>
      </c>
      <c r="D781" t="s">
        <v>1041</v>
      </c>
    </row>
    <row r="782" spans="1:4" x14ac:dyDescent="0.25">
      <c r="D782" t="s">
        <v>1024</v>
      </c>
    </row>
    <row r="783" spans="1:4" x14ac:dyDescent="0.25">
      <c r="D783" t="s">
        <v>1034</v>
      </c>
    </row>
    <row r="784" spans="1:4" x14ac:dyDescent="0.25">
      <c r="D784" t="s">
        <v>1042</v>
      </c>
    </row>
    <row r="785" spans="1:4" x14ac:dyDescent="0.25">
      <c r="D785" t="s">
        <v>1043</v>
      </c>
    </row>
    <row r="786" spans="1:4" x14ac:dyDescent="0.25">
      <c r="D786" t="s">
        <v>1023</v>
      </c>
    </row>
    <row r="787" spans="1:4" x14ac:dyDescent="0.25">
      <c r="D787" t="s">
        <v>1033</v>
      </c>
    </row>
    <row r="788" spans="1:4" x14ac:dyDescent="0.25">
      <c r="A788" t="s">
        <v>385</v>
      </c>
      <c r="B788" t="s">
        <v>386</v>
      </c>
      <c r="C788" t="s">
        <v>387</v>
      </c>
      <c r="D788" t="s">
        <v>1044</v>
      </c>
    </row>
    <row r="789" spans="1:4" x14ac:dyDescent="0.25">
      <c r="D789" t="s">
        <v>1045</v>
      </c>
    </row>
    <row r="790" spans="1:4" x14ac:dyDescent="0.25">
      <c r="D790" t="s">
        <v>1029</v>
      </c>
    </row>
    <row r="791" spans="1:4" x14ac:dyDescent="0.25">
      <c r="D791" t="s">
        <v>1046</v>
      </c>
    </row>
    <row r="792" spans="1:4" x14ac:dyDescent="0.25">
      <c r="D792" t="s">
        <v>1047</v>
      </c>
    </row>
    <row r="793" spans="1:4" x14ac:dyDescent="0.25">
      <c r="D793" t="s">
        <v>1048</v>
      </c>
    </row>
    <row r="794" spans="1:4" x14ac:dyDescent="0.25">
      <c r="D794" t="s">
        <v>1049</v>
      </c>
    </row>
    <row r="795" spans="1:4" x14ac:dyDescent="0.25">
      <c r="D795" t="s">
        <v>1020</v>
      </c>
    </row>
    <row r="796" spans="1:4" x14ac:dyDescent="0.25">
      <c r="D796" t="s">
        <v>1050</v>
      </c>
    </row>
    <row r="797" spans="1:4" x14ac:dyDescent="0.25">
      <c r="D797" t="s">
        <v>1051</v>
      </c>
    </row>
    <row r="798" spans="1:4" x14ac:dyDescent="0.25">
      <c r="A798" t="s">
        <v>388</v>
      </c>
      <c r="B798" t="s">
        <v>389</v>
      </c>
      <c r="C798" t="s">
        <v>390</v>
      </c>
      <c r="D798" t="s">
        <v>1029</v>
      </c>
    </row>
    <row r="799" spans="1:4" x14ac:dyDescent="0.25">
      <c r="D799" t="s">
        <v>1050</v>
      </c>
    </row>
    <row r="800" spans="1:4" x14ac:dyDescent="0.25">
      <c r="D800" t="s">
        <v>1049</v>
      </c>
    </row>
    <row r="801" spans="1:4" x14ac:dyDescent="0.25">
      <c r="D801" t="s">
        <v>1045</v>
      </c>
    </row>
    <row r="802" spans="1:4" x14ac:dyDescent="0.25">
      <c r="D802" t="s">
        <v>1051</v>
      </c>
    </row>
    <row r="803" spans="1:4" x14ac:dyDescent="0.25">
      <c r="D803" t="s">
        <v>1044</v>
      </c>
    </row>
    <row r="804" spans="1:4" x14ac:dyDescent="0.25">
      <c r="D804" t="s">
        <v>1043</v>
      </c>
    </row>
    <row r="805" spans="1:4" x14ac:dyDescent="0.25">
      <c r="D805" t="s">
        <v>1020</v>
      </c>
    </row>
    <row r="806" spans="1:4" x14ac:dyDescent="0.25">
      <c r="D806" t="s">
        <v>1047</v>
      </c>
    </row>
    <row r="807" spans="1:4" x14ac:dyDescent="0.25">
      <c r="D807" t="s">
        <v>1048</v>
      </c>
    </row>
    <row r="808" spans="1:4" x14ac:dyDescent="0.25">
      <c r="D808" t="s">
        <v>1052</v>
      </c>
    </row>
    <row r="809" spans="1:4" x14ac:dyDescent="0.25">
      <c r="A809" t="s">
        <v>391</v>
      </c>
      <c r="B809" t="s">
        <v>392</v>
      </c>
      <c r="C809" t="s">
        <v>393</v>
      </c>
      <c r="D809" t="s">
        <v>1050</v>
      </c>
    </row>
    <row r="810" spans="1:4" x14ac:dyDescent="0.25">
      <c r="D810" t="s">
        <v>1046</v>
      </c>
    </row>
    <row r="811" spans="1:4" x14ac:dyDescent="0.25">
      <c r="D811" t="s">
        <v>1053</v>
      </c>
    </row>
    <row r="812" spans="1:4" x14ac:dyDescent="0.25">
      <c r="D812" t="s">
        <v>1044</v>
      </c>
    </row>
    <row r="813" spans="1:4" x14ac:dyDescent="0.25">
      <c r="D813" t="s">
        <v>1020</v>
      </c>
    </row>
    <row r="814" spans="1:4" x14ac:dyDescent="0.25">
      <c r="D814" t="s">
        <v>1048</v>
      </c>
    </row>
    <row r="815" spans="1:4" x14ac:dyDescent="0.25">
      <c r="A815" t="s">
        <v>394</v>
      </c>
      <c r="B815" t="s">
        <v>395</v>
      </c>
      <c r="C815" t="s">
        <v>396</v>
      </c>
      <c r="D815" t="s">
        <v>1047</v>
      </c>
    </row>
    <row r="816" spans="1:4" x14ac:dyDescent="0.25">
      <c r="D816" t="s">
        <v>1048</v>
      </c>
    </row>
    <row r="817" spans="1:5" x14ac:dyDescent="0.25">
      <c r="D817" t="s">
        <v>1050</v>
      </c>
    </row>
    <row r="818" spans="1:5" x14ac:dyDescent="0.25">
      <c r="D818" t="s">
        <v>1046</v>
      </c>
    </row>
    <row r="819" spans="1:5" x14ac:dyDescent="0.25">
      <c r="A819" t="s">
        <v>397</v>
      </c>
      <c r="B819" t="s">
        <v>398</v>
      </c>
      <c r="C819" t="s">
        <v>399</v>
      </c>
      <c r="D819" t="s">
        <v>1054</v>
      </c>
    </row>
    <row r="820" spans="1:5" x14ac:dyDescent="0.25">
      <c r="A820" t="s">
        <v>400</v>
      </c>
      <c r="B820" t="s">
        <v>401</v>
      </c>
      <c r="C820" t="s">
        <v>402</v>
      </c>
      <c r="D820" t="s">
        <v>1055</v>
      </c>
    </row>
    <row r="821" spans="1:5" x14ac:dyDescent="0.25">
      <c r="D821" t="s">
        <v>1056</v>
      </c>
    </row>
    <row r="822" spans="1:5" x14ac:dyDescent="0.25">
      <c r="D822" t="s">
        <v>1057</v>
      </c>
    </row>
    <row r="823" spans="1:5" x14ac:dyDescent="0.25">
      <c r="D823" t="s">
        <v>1058</v>
      </c>
    </row>
    <row r="824" spans="1:5" x14ac:dyDescent="0.25">
      <c r="D824" t="s">
        <v>1053</v>
      </c>
    </row>
    <row r="825" spans="1:5" x14ac:dyDescent="0.25">
      <c r="A825" t="s">
        <v>403</v>
      </c>
      <c r="B825" t="s">
        <v>404</v>
      </c>
      <c r="C825" t="s">
        <v>405</v>
      </c>
      <c r="D825" t="s">
        <v>1057</v>
      </c>
    </row>
    <row r="826" spans="1:5" x14ac:dyDescent="0.25">
      <c r="A826" t="s">
        <v>406</v>
      </c>
      <c r="B826" t="s">
        <v>407</v>
      </c>
      <c r="C826" t="s">
        <v>408</v>
      </c>
      <c r="D826" t="s">
        <v>1058</v>
      </c>
      <c r="E826" t="s">
        <v>1059</v>
      </c>
    </row>
    <row r="827" spans="1:5" x14ac:dyDescent="0.25">
      <c r="D827" t="s">
        <v>1046</v>
      </c>
    </row>
    <row r="828" spans="1:5" x14ac:dyDescent="0.25">
      <c r="D828" t="s">
        <v>1057</v>
      </c>
    </row>
    <row r="829" spans="1:5" x14ac:dyDescent="0.25">
      <c r="D829" t="s">
        <v>1056</v>
      </c>
    </row>
    <row r="830" spans="1:5" x14ac:dyDescent="0.25">
      <c r="D830" t="s">
        <v>1060</v>
      </c>
    </row>
    <row r="831" spans="1:5" x14ac:dyDescent="0.25">
      <c r="A831" t="s">
        <v>409</v>
      </c>
      <c r="B831" t="s">
        <v>410</v>
      </c>
      <c r="C831" t="s">
        <v>411</v>
      </c>
      <c r="D831" t="s">
        <v>1061</v>
      </c>
    </row>
    <row r="832" spans="1:5" x14ac:dyDescent="0.25">
      <c r="A832" t="s">
        <v>412</v>
      </c>
      <c r="B832" t="s">
        <v>413</v>
      </c>
      <c r="C832" t="s">
        <v>414</v>
      </c>
      <c r="D832" t="s">
        <v>1062</v>
      </c>
    </row>
    <row r="833" spans="1:7" x14ac:dyDescent="0.25">
      <c r="D833" t="s">
        <v>1063</v>
      </c>
    </row>
    <row r="834" spans="1:7" x14ac:dyDescent="0.25">
      <c r="D834" t="s">
        <v>1064</v>
      </c>
    </row>
    <row r="835" spans="1:7" x14ac:dyDescent="0.25">
      <c r="D835" t="s">
        <v>1065</v>
      </c>
    </row>
    <row r="836" spans="1:7" x14ac:dyDescent="0.25">
      <c r="A836" t="s">
        <v>415</v>
      </c>
      <c r="B836" t="s">
        <v>416</v>
      </c>
      <c r="C836" t="s">
        <v>417</v>
      </c>
      <c r="D836" t="s">
        <v>1066</v>
      </c>
    </row>
    <row r="837" spans="1:7" x14ac:dyDescent="0.25">
      <c r="A837" t="s">
        <v>418</v>
      </c>
      <c r="B837">
        <v>2225</v>
      </c>
      <c r="C837" t="s">
        <v>420</v>
      </c>
      <c r="D837" t="s">
        <v>1067</v>
      </c>
    </row>
    <row r="838" spans="1:7" x14ac:dyDescent="0.25">
      <c r="A838" t="s">
        <v>421</v>
      </c>
      <c r="B838" t="s">
        <v>422</v>
      </c>
      <c r="C838" t="s">
        <v>423</v>
      </c>
      <c r="D838" t="s">
        <v>1050</v>
      </c>
      <c r="E838" t="s">
        <v>1017</v>
      </c>
      <c r="F838" t="s">
        <v>990</v>
      </c>
      <c r="G838" t="s">
        <v>988</v>
      </c>
    </row>
    <row r="839" spans="1:7" x14ac:dyDescent="0.25">
      <c r="D839" t="s">
        <v>1057</v>
      </c>
      <c r="E839" t="s">
        <v>991</v>
      </c>
    </row>
    <row r="840" spans="1:7" x14ac:dyDescent="0.25">
      <c r="D840" t="s">
        <v>1055</v>
      </c>
      <c r="E840" t="s">
        <v>1068</v>
      </c>
    </row>
    <row r="841" spans="1:7" x14ac:dyDescent="0.25">
      <c r="D841" t="s">
        <v>1063</v>
      </c>
    </row>
    <row r="842" spans="1:7" x14ac:dyDescent="0.25">
      <c r="D842" t="s">
        <v>1064</v>
      </c>
    </row>
    <row r="843" spans="1:7" x14ac:dyDescent="0.25">
      <c r="D843" t="s">
        <v>1069</v>
      </c>
    </row>
    <row r="844" spans="1:7" x14ac:dyDescent="0.25">
      <c r="D844" t="s">
        <v>1062</v>
      </c>
    </row>
    <row r="845" spans="1:7" x14ac:dyDescent="0.25">
      <c r="D845" t="s">
        <v>1059</v>
      </c>
    </row>
    <row r="846" spans="1:7" x14ac:dyDescent="0.25">
      <c r="A846" t="s">
        <v>424</v>
      </c>
      <c r="B846" t="s">
        <v>425</v>
      </c>
      <c r="C846" t="s">
        <v>426</v>
      </c>
      <c r="D846" t="s">
        <v>1061</v>
      </c>
    </row>
    <row r="847" spans="1:7" x14ac:dyDescent="0.25">
      <c r="D847" t="s">
        <v>991</v>
      </c>
    </row>
    <row r="848" spans="1:7" x14ac:dyDescent="0.25">
      <c r="A848" t="s">
        <v>427</v>
      </c>
      <c r="B848" t="s">
        <v>428</v>
      </c>
      <c r="C848" t="s">
        <v>429</v>
      </c>
      <c r="D848" t="s">
        <v>1067</v>
      </c>
    </row>
    <row r="849" spans="1:4" x14ac:dyDescent="0.25">
      <c r="D849" t="s">
        <v>1070</v>
      </c>
    </row>
    <row r="850" spans="1:4" x14ac:dyDescent="0.25">
      <c r="A850" t="s">
        <v>430</v>
      </c>
      <c r="B850" t="s">
        <v>431</v>
      </c>
      <c r="C850" t="s">
        <v>432</v>
      </c>
      <c r="D850" t="s">
        <v>1071</v>
      </c>
    </row>
    <row r="851" spans="1:4" x14ac:dyDescent="0.25">
      <c r="A851" t="s">
        <v>433</v>
      </c>
      <c r="B851" t="s">
        <v>434</v>
      </c>
      <c r="C851" t="s">
        <v>435</v>
      </c>
      <c r="D851" t="s">
        <v>1072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8030-F466-4D21-BA69-D42C4F0976A4}">
  <dimension ref="A1:D255"/>
  <sheetViews>
    <sheetView workbookViewId="0">
      <selection activeCell="B1" sqref="B1:B1048576"/>
    </sheetView>
  </sheetViews>
  <sheetFormatPr defaultColWidth="8.85546875" defaultRowHeight="15" x14ac:dyDescent="0.25"/>
  <sheetData>
    <row r="1" spans="1:4" x14ac:dyDescent="0.25">
      <c r="A1" t="s">
        <v>617</v>
      </c>
      <c r="B1" t="s">
        <v>1073</v>
      </c>
      <c r="C1" t="s">
        <v>618</v>
      </c>
      <c r="D1" t="s">
        <v>619</v>
      </c>
    </row>
    <row r="2" spans="1:4" x14ac:dyDescent="0.25">
      <c r="A2" t="s">
        <v>620</v>
      </c>
      <c r="B2" t="s">
        <v>1074</v>
      </c>
      <c r="C2" t="s">
        <v>621</v>
      </c>
      <c r="D2" t="s">
        <v>622</v>
      </c>
    </row>
    <row r="3" spans="1:4" x14ac:dyDescent="0.25">
      <c r="A3" t="s">
        <v>623</v>
      </c>
      <c r="B3" t="s">
        <v>1075</v>
      </c>
      <c r="C3" t="s">
        <v>624</v>
      </c>
      <c r="D3" t="s">
        <v>625</v>
      </c>
    </row>
    <row r="4" spans="1:4" x14ac:dyDescent="0.25">
      <c r="A4" t="s">
        <v>626</v>
      </c>
      <c r="B4" t="s">
        <v>1076</v>
      </c>
      <c r="C4" t="s">
        <v>627</v>
      </c>
      <c r="D4" t="s">
        <v>628</v>
      </c>
    </row>
    <row r="5" spans="1:4" x14ac:dyDescent="0.25">
      <c r="A5" t="s">
        <v>629</v>
      </c>
      <c r="B5" t="s">
        <v>1077</v>
      </c>
      <c r="C5" t="s">
        <v>630</v>
      </c>
      <c r="D5" t="s">
        <v>631</v>
      </c>
    </row>
    <row r="6" spans="1:4" x14ac:dyDescent="0.25">
      <c r="A6" t="s">
        <v>632</v>
      </c>
      <c r="B6" t="s">
        <v>1078</v>
      </c>
      <c r="C6" t="s">
        <v>633</v>
      </c>
      <c r="D6" t="s">
        <v>634</v>
      </c>
    </row>
    <row r="7" spans="1:4" x14ac:dyDescent="0.25">
      <c r="A7" t="s">
        <v>635</v>
      </c>
      <c r="B7" t="s">
        <v>1079</v>
      </c>
      <c r="C7" t="s">
        <v>636</v>
      </c>
      <c r="D7" t="s">
        <v>637</v>
      </c>
    </row>
    <row r="8" spans="1:4" x14ac:dyDescent="0.25">
      <c r="A8" t="s">
        <v>638</v>
      </c>
      <c r="B8" t="s">
        <v>1080</v>
      </c>
      <c r="C8" t="s">
        <v>639</v>
      </c>
      <c r="D8" t="s">
        <v>640</v>
      </c>
    </row>
    <row r="9" spans="1:4" x14ac:dyDescent="0.25">
      <c r="A9" t="s">
        <v>641</v>
      </c>
      <c r="B9" t="s">
        <v>1081</v>
      </c>
      <c r="C9" t="s">
        <v>642</v>
      </c>
      <c r="D9" t="s">
        <v>643</v>
      </c>
    </row>
    <row r="10" spans="1:4" x14ac:dyDescent="0.25">
      <c r="A10" t="s">
        <v>644</v>
      </c>
      <c r="B10" t="s">
        <v>1082</v>
      </c>
      <c r="C10" t="s">
        <v>645</v>
      </c>
      <c r="D10" t="s">
        <v>646</v>
      </c>
    </row>
    <row r="11" spans="1:4" x14ac:dyDescent="0.25">
      <c r="A11" t="s">
        <v>647</v>
      </c>
      <c r="B11" t="s">
        <v>1083</v>
      </c>
      <c r="C11" t="s">
        <v>639</v>
      </c>
      <c r="D11" t="s">
        <v>640</v>
      </c>
    </row>
    <row r="12" spans="1:4" x14ac:dyDescent="0.25">
      <c r="A12" t="s">
        <v>648</v>
      </c>
      <c r="B12" t="s">
        <v>1084</v>
      </c>
      <c r="C12" t="s">
        <v>649</v>
      </c>
      <c r="D12" t="s">
        <v>641</v>
      </c>
    </row>
    <row r="13" spans="1:4" x14ac:dyDescent="0.25">
      <c r="A13" t="s">
        <v>650</v>
      </c>
      <c r="B13" t="s">
        <v>1085</v>
      </c>
      <c r="C13" t="s">
        <v>633</v>
      </c>
      <c r="D13" t="s">
        <v>634</v>
      </c>
    </row>
    <row r="14" spans="1:4" x14ac:dyDescent="0.25">
      <c r="A14" t="s">
        <v>651</v>
      </c>
      <c r="B14" t="s">
        <v>1086</v>
      </c>
      <c r="C14" t="s">
        <v>630</v>
      </c>
      <c r="D14" t="s">
        <v>631</v>
      </c>
    </row>
    <row r="15" spans="1:4" x14ac:dyDescent="0.25">
      <c r="A15" t="s">
        <v>652</v>
      </c>
      <c r="B15" t="s">
        <v>1087</v>
      </c>
      <c r="C15" t="s">
        <v>653</v>
      </c>
      <c r="D15" t="s">
        <v>654</v>
      </c>
    </row>
    <row r="16" spans="1:4" x14ac:dyDescent="0.25">
      <c r="A16" t="s">
        <v>655</v>
      </c>
      <c r="B16" t="s">
        <v>1088</v>
      </c>
      <c r="C16" t="s">
        <v>639</v>
      </c>
      <c r="D16" t="s">
        <v>640</v>
      </c>
    </row>
    <row r="17" spans="1:4" x14ac:dyDescent="0.25">
      <c r="A17" t="s">
        <v>656</v>
      </c>
      <c r="B17" t="s">
        <v>1089</v>
      </c>
      <c r="C17" t="s">
        <v>649</v>
      </c>
      <c r="D17" t="s">
        <v>641</v>
      </c>
    </row>
    <row r="18" spans="1:4" x14ac:dyDescent="0.25">
      <c r="A18" t="s">
        <v>657</v>
      </c>
      <c r="B18" t="s">
        <v>1090</v>
      </c>
      <c r="C18" t="s">
        <v>624</v>
      </c>
      <c r="D18" t="s">
        <v>625</v>
      </c>
    </row>
    <row r="19" spans="1:4" x14ac:dyDescent="0.25">
      <c r="A19" t="s">
        <v>658</v>
      </c>
      <c r="B19" t="s">
        <v>1091</v>
      </c>
      <c r="C19" t="s">
        <v>653</v>
      </c>
      <c r="D19" t="s">
        <v>654</v>
      </c>
    </row>
    <row r="20" spans="1:4" x14ac:dyDescent="0.25">
      <c r="A20" t="s">
        <v>659</v>
      </c>
      <c r="B20" t="s">
        <v>1092</v>
      </c>
      <c r="C20" t="s">
        <v>621</v>
      </c>
      <c r="D20" t="s">
        <v>622</v>
      </c>
    </row>
    <row r="21" spans="1:4" x14ac:dyDescent="0.25">
      <c r="A21" t="s">
        <v>660</v>
      </c>
      <c r="B21" t="s">
        <v>1093</v>
      </c>
      <c r="C21" t="s">
        <v>642</v>
      </c>
      <c r="D21" t="s">
        <v>643</v>
      </c>
    </row>
    <row r="22" spans="1:4" x14ac:dyDescent="0.25">
      <c r="A22" t="s">
        <v>661</v>
      </c>
      <c r="B22" t="s">
        <v>1094</v>
      </c>
      <c r="C22" t="s">
        <v>653</v>
      </c>
      <c r="D22" t="s">
        <v>654</v>
      </c>
    </row>
    <row r="23" spans="1:4" x14ac:dyDescent="0.25">
      <c r="A23" t="s">
        <v>662</v>
      </c>
      <c r="B23" t="s">
        <v>1095</v>
      </c>
      <c r="C23" t="s">
        <v>663</v>
      </c>
      <c r="D23" t="s">
        <v>664</v>
      </c>
    </row>
    <row r="24" spans="1:4" x14ac:dyDescent="0.25">
      <c r="A24" t="s">
        <v>665</v>
      </c>
      <c r="B24" t="s">
        <v>1096</v>
      </c>
      <c r="C24" t="s">
        <v>636</v>
      </c>
      <c r="D24" t="s">
        <v>637</v>
      </c>
    </row>
    <row r="25" spans="1:4" x14ac:dyDescent="0.25">
      <c r="A25" t="s">
        <v>666</v>
      </c>
      <c r="B25" t="s">
        <v>1097</v>
      </c>
      <c r="C25" t="s">
        <v>667</v>
      </c>
      <c r="D25" t="s">
        <v>668</v>
      </c>
    </row>
    <row r="26" spans="1:4" x14ac:dyDescent="0.25">
      <c r="A26" t="s">
        <v>669</v>
      </c>
      <c r="B26" t="s">
        <v>1098</v>
      </c>
      <c r="C26" t="s">
        <v>633</v>
      </c>
      <c r="D26" t="s">
        <v>634</v>
      </c>
    </row>
    <row r="27" spans="1:4" x14ac:dyDescent="0.25">
      <c r="A27" t="s">
        <v>670</v>
      </c>
      <c r="B27" t="s">
        <v>1099</v>
      </c>
      <c r="C27" t="s">
        <v>653</v>
      </c>
      <c r="D27" t="s">
        <v>654</v>
      </c>
    </row>
    <row r="28" spans="1:4" x14ac:dyDescent="0.25">
      <c r="A28" t="s">
        <v>671</v>
      </c>
      <c r="B28" t="s">
        <v>1100</v>
      </c>
      <c r="C28" t="s">
        <v>649</v>
      </c>
      <c r="D28" t="s">
        <v>641</v>
      </c>
    </row>
    <row r="29" spans="1:4" x14ac:dyDescent="0.25">
      <c r="A29" t="s">
        <v>672</v>
      </c>
      <c r="B29" t="s">
        <v>1101</v>
      </c>
      <c r="C29" t="s">
        <v>649</v>
      </c>
      <c r="D29" t="s">
        <v>641</v>
      </c>
    </row>
    <row r="30" spans="1:4" x14ac:dyDescent="0.25">
      <c r="A30" t="s">
        <v>673</v>
      </c>
      <c r="B30" t="s">
        <v>1102</v>
      </c>
      <c r="C30" t="s">
        <v>630</v>
      </c>
      <c r="D30" t="s">
        <v>631</v>
      </c>
    </row>
    <row r="31" spans="1:4" x14ac:dyDescent="0.25">
      <c r="A31" t="s">
        <v>674</v>
      </c>
      <c r="B31" t="s">
        <v>1103</v>
      </c>
      <c r="C31" t="s">
        <v>633</v>
      </c>
      <c r="D31" t="s">
        <v>634</v>
      </c>
    </row>
    <row r="32" spans="1:4" x14ac:dyDescent="0.25">
      <c r="A32" t="s">
        <v>675</v>
      </c>
      <c r="B32" t="s">
        <v>1104</v>
      </c>
      <c r="C32" t="s">
        <v>667</v>
      </c>
      <c r="D32" t="s">
        <v>668</v>
      </c>
    </row>
    <row r="33" spans="1:4" x14ac:dyDescent="0.25">
      <c r="A33" t="s">
        <v>676</v>
      </c>
      <c r="B33" t="s">
        <v>1105</v>
      </c>
      <c r="C33" t="s">
        <v>621</v>
      </c>
      <c r="D33" t="s">
        <v>622</v>
      </c>
    </row>
    <row r="34" spans="1:4" x14ac:dyDescent="0.25">
      <c r="A34" t="s">
        <v>677</v>
      </c>
      <c r="B34" t="s">
        <v>1106</v>
      </c>
      <c r="C34" t="s">
        <v>636</v>
      </c>
      <c r="D34" t="s">
        <v>637</v>
      </c>
    </row>
    <row r="35" spans="1:4" x14ac:dyDescent="0.25">
      <c r="A35" t="s">
        <v>678</v>
      </c>
      <c r="B35" t="s">
        <v>1107</v>
      </c>
      <c r="C35" t="s">
        <v>621</v>
      </c>
      <c r="D35" t="s">
        <v>622</v>
      </c>
    </row>
    <row r="36" spans="1:4" x14ac:dyDescent="0.25">
      <c r="A36" t="s">
        <v>679</v>
      </c>
      <c r="B36" t="s">
        <v>1108</v>
      </c>
      <c r="C36" t="s">
        <v>636</v>
      </c>
      <c r="D36" t="s">
        <v>637</v>
      </c>
    </row>
    <row r="37" spans="1:4" x14ac:dyDescent="0.25">
      <c r="A37" t="s">
        <v>680</v>
      </c>
      <c r="B37" t="s">
        <v>1109</v>
      </c>
      <c r="C37" t="s">
        <v>642</v>
      </c>
      <c r="D37" t="s">
        <v>643</v>
      </c>
    </row>
    <row r="38" spans="1:4" x14ac:dyDescent="0.25">
      <c r="A38" t="s">
        <v>681</v>
      </c>
      <c r="B38" t="s">
        <v>1110</v>
      </c>
      <c r="C38" t="s">
        <v>621</v>
      </c>
      <c r="D38" t="s">
        <v>622</v>
      </c>
    </row>
    <row r="39" spans="1:4" x14ac:dyDescent="0.25">
      <c r="A39" t="s">
        <v>682</v>
      </c>
      <c r="B39" t="s">
        <v>1111</v>
      </c>
      <c r="C39" t="s">
        <v>636</v>
      </c>
      <c r="D39" t="s">
        <v>637</v>
      </c>
    </row>
    <row r="40" spans="1:4" x14ac:dyDescent="0.25">
      <c r="A40" t="s">
        <v>683</v>
      </c>
      <c r="B40" t="s">
        <v>1112</v>
      </c>
      <c r="C40" t="s">
        <v>633</v>
      </c>
      <c r="D40" t="s">
        <v>634</v>
      </c>
    </row>
    <row r="41" spans="1:4" x14ac:dyDescent="0.25">
      <c r="A41" t="s">
        <v>684</v>
      </c>
      <c r="B41" t="s">
        <v>1113</v>
      </c>
      <c r="C41" t="s">
        <v>645</v>
      </c>
      <c r="D41" t="s">
        <v>646</v>
      </c>
    </row>
    <row r="42" spans="1:4" x14ac:dyDescent="0.25">
      <c r="A42" t="s">
        <v>685</v>
      </c>
      <c r="B42" t="s">
        <v>1114</v>
      </c>
      <c r="C42" t="s">
        <v>686</v>
      </c>
      <c r="D42" t="s">
        <v>687</v>
      </c>
    </row>
    <row r="43" spans="1:4" x14ac:dyDescent="0.25">
      <c r="A43" t="s">
        <v>688</v>
      </c>
      <c r="B43" t="s">
        <v>1115</v>
      </c>
      <c r="C43" t="s">
        <v>633</v>
      </c>
      <c r="D43" t="s">
        <v>634</v>
      </c>
    </row>
    <row r="44" spans="1:4" x14ac:dyDescent="0.25">
      <c r="A44" t="s">
        <v>689</v>
      </c>
      <c r="B44" t="s">
        <v>1116</v>
      </c>
      <c r="C44" t="s">
        <v>690</v>
      </c>
      <c r="D44" t="s">
        <v>691</v>
      </c>
    </row>
    <row r="45" spans="1:4" x14ac:dyDescent="0.25">
      <c r="A45" t="s">
        <v>692</v>
      </c>
      <c r="B45" t="s">
        <v>1117</v>
      </c>
      <c r="C45" t="s">
        <v>636</v>
      </c>
      <c r="D45" t="s">
        <v>637</v>
      </c>
    </row>
    <row r="46" spans="1:4" x14ac:dyDescent="0.25">
      <c r="A46" t="s">
        <v>693</v>
      </c>
      <c r="B46" t="s">
        <v>1118</v>
      </c>
      <c r="C46" t="s">
        <v>642</v>
      </c>
      <c r="D46" t="s">
        <v>643</v>
      </c>
    </row>
    <row r="47" spans="1:4" x14ac:dyDescent="0.25">
      <c r="A47" t="s">
        <v>694</v>
      </c>
      <c r="B47" t="s">
        <v>1119</v>
      </c>
      <c r="C47" t="s">
        <v>639</v>
      </c>
      <c r="D47" t="s">
        <v>640</v>
      </c>
    </row>
    <row r="48" spans="1:4" x14ac:dyDescent="0.25">
      <c r="A48" t="s">
        <v>695</v>
      </c>
      <c r="B48" t="s">
        <v>1120</v>
      </c>
      <c r="C48" t="s">
        <v>633</v>
      </c>
      <c r="D48" t="s">
        <v>634</v>
      </c>
    </row>
    <row r="49" spans="1:4" x14ac:dyDescent="0.25">
      <c r="A49" t="s">
        <v>696</v>
      </c>
      <c r="B49" t="s">
        <v>1121</v>
      </c>
      <c r="C49" t="s">
        <v>686</v>
      </c>
      <c r="D49" t="s">
        <v>687</v>
      </c>
    </row>
    <row r="50" spans="1:4" x14ac:dyDescent="0.25">
      <c r="A50" t="s">
        <v>697</v>
      </c>
      <c r="B50" t="s">
        <v>1122</v>
      </c>
      <c r="C50" t="s">
        <v>690</v>
      </c>
      <c r="D50" t="s">
        <v>691</v>
      </c>
    </row>
    <row r="51" spans="1:4" x14ac:dyDescent="0.25">
      <c r="A51" t="s">
        <v>698</v>
      </c>
      <c r="B51" t="s">
        <v>1123</v>
      </c>
      <c r="C51" t="s">
        <v>653</v>
      </c>
      <c r="D51" t="s">
        <v>654</v>
      </c>
    </row>
    <row r="52" spans="1:4" x14ac:dyDescent="0.25">
      <c r="A52" t="s">
        <v>699</v>
      </c>
      <c r="B52" t="s">
        <v>1124</v>
      </c>
      <c r="C52" t="s">
        <v>633</v>
      </c>
      <c r="D52" t="s">
        <v>634</v>
      </c>
    </row>
    <row r="53" spans="1:4" x14ac:dyDescent="0.25">
      <c r="A53" t="s">
        <v>700</v>
      </c>
      <c r="B53" t="s">
        <v>1125</v>
      </c>
      <c r="C53" t="s">
        <v>624</v>
      </c>
      <c r="D53" t="s">
        <v>625</v>
      </c>
    </row>
    <row r="54" spans="1:4" x14ac:dyDescent="0.25">
      <c r="A54" t="s">
        <v>701</v>
      </c>
      <c r="B54" t="s">
        <v>1126</v>
      </c>
      <c r="C54" t="s">
        <v>686</v>
      </c>
      <c r="D54" t="s">
        <v>687</v>
      </c>
    </row>
    <row r="55" spans="1:4" x14ac:dyDescent="0.25">
      <c r="A55" t="s">
        <v>702</v>
      </c>
      <c r="B55" t="s">
        <v>1127</v>
      </c>
      <c r="C55" t="s">
        <v>645</v>
      </c>
      <c r="D55" t="s">
        <v>646</v>
      </c>
    </row>
    <row r="56" spans="1:4" x14ac:dyDescent="0.25">
      <c r="A56" t="s">
        <v>703</v>
      </c>
      <c r="B56" t="s">
        <v>1128</v>
      </c>
      <c r="C56" t="s">
        <v>663</v>
      </c>
      <c r="D56" t="s">
        <v>664</v>
      </c>
    </row>
    <row r="57" spans="1:4" x14ac:dyDescent="0.25">
      <c r="A57" t="s">
        <v>704</v>
      </c>
      <c r="B57" t="s">
        <v>1129</v>
      </c>
      <c r="C57" t="s">
        <v>636</v>
      </c>
      <c r="D57" t="s">
        <v>637</v>
      </c>
    </row>
    <row r="58" spans="1:4" x14ac:dyDescent="0.25">
      <c r="A58" t="s">
        <v>705</v>
      </c>
      <c r="B58" t="s">
        <v>1130</v>
      </c>
      <c r="C58" t="s">
        <v>690</v>
      </c>
      <c r="D58" t="s">
        <v>691</v>
      </c>
    </row>
    <row r="59" spans="1:4" x14ac:dyDescent="0.25">
      <c r="A59" t="s">
        <v>706</v>
      </c>
      <c r="B59" t="s">
        <v>1131</v>
      </c>
      <c r="C59" t="s">
        <v>624</v>
      </c>
      <c r="D59" t="s">
        <v>625</v>
      </c>
    </row>
    <row r="60" spans="1:4" x14ac:dyDescent="0.25">
      <c r="A60" t="s">
        <v>707</v>
      </c>
      <c r="B60" t="s">
        <v>1132</v>
      </c>
      <c r="C60" t="s">
        <v>636</v>
      </c>
      <c r="D60" t="s">
        <v>637</v>
      </c>
    </row>
    <row r="61" spans="1:4" x14ac:dyDescent="0.25">
      <c r="A61" t="s">
        <v>708</v>
      </c>
      <c r="B61" t="s">
        <v>1133</v>
      </c>
      <c r="C61" t="s">
        <v>621</v>
      </c>
      <c r="D61" t="s">
        <v>622</v>
      </c>
    </row>
    <row r="62" spans="1:4" x14ac:dyDescent="0.25">
      <c r="A62" t="s">
        <v>709</v>
      </c>
      <c r="B62" t="s">
        <v>1134</v>
      </c>
      <c r="C62" t="s">
        <v>690</v>
      </c>
      <c r="D62" t="s">
        <v>691</v>
      </c>
    </row>
    <row r="63" spans="1:4" x14ac:dyDescent="0.25">
      <c r="A63" t="s">
        <v>710</v>
      </c>
      <c r="B63" t="s">
        <v>1135</v>
      </c>
      <c r="C63" t="s">
        <v>630</v>
      </c>
      <c r="D63" t="s">
        <v>631</v>
      </c>
    </row>
    <row r="64" spans="1:4" x14ac:dyDescent="0.25">
      <c r="A64" t="s">
        <v>711</v>
      </c>
      <c r="B64" t="s">
        <v>1136</v>
      </c>
      <c r="C64" t="s">
        <v>645</v>
      </c>
      <c r="D64" t="s">
        <v>646</v>
      </c>
    </row>
    <row r="65" spans="1:4" x14ac:dyDescent="0.25">
      <c r="A65" t="s">
        <v>712</v>
      </c>
      <c r="B65" t="s">
        <v>1137</v>
      </c>
      <c r="C65" t="s">
        <v>713</v>
      </c>
      <c r="D65" t="s">
        <v>714</v>
      </c>
    </row>
    <row r="66" spans="1:4" x14ac:dyDescent="0.25">
      <c r="A66" t="s">
        <v>715</v>
      </c>
      <c r="B66" t="s">
        <v>1138</v>
      </c>
      <c r="C66" t="s">
        <v>636</v>
      </c>
      <c r="D66" t="s">
        <v>637</v>
      </c>
    </row>
    <row r="67" spans="1:4" x14ac:dyDescent="0.25">
      <c r="A67" t="s">
        <v>716</v>
      </c>
      <c r="B67" t="s">
        <v>1139</v>
      </c>
      <c r="C67" t="s">
        <v>713</v>
      </c>
      <c r="D67" t="s">
        <v>714</v>
      </c>
    </row>
    <row r="68" spans="1:4" x14ac:dyDescent="0.25">
      <c r="A68" t="s">
        <v>717</v>
      </c>
      <c r="B68" t="s">
        <v>1140</v>
      </c>
      <c r="C68" t="s">
        <v>633</v>
      </c>
      <c r="D68" t="s">
        <v>634</v>
      </c>
    </row>
    <row r="69" spans="1:4" x14ac:dyDescent="0.25">
      <c r="A69" t="s">
        <v>718</v>
      </c>
      <c r="B69" t="s">
        <v>1141</v>
      </c>
      <c r="C69" t="s">
        <v>624</v>
      </c>
      <c r="D69" t="s">
        <v>625</v>
      </c>
    </row>
    <row r="70" spans="1:4" x14ac:dyDescent="0.25">
      <c r="A70" t="s">
        <v>719</v>
      </c>
      <c r="B70" t="s">
        <v>1142</v>
      </c>
      <c r="C70" t="s">
        <v>639</v>
      </c>
      <c r="D70" t="s">
        <v>640</v>
      </c>
    </row>
    <row r="71" spans="1:4" x14ac:dyDescent="0.25">
      <c r="A71" t="s">
        <v>664</v>
      </c>
      <c r="B71" t="s">
        <v>1143</v>
      </c>
      <c r="C71" t="s">
        <v>663</v>
      </c>
      <c r="D71" t="s">
        <v>664</v>
      </c>
    </row>
    <row r="72" spans="1:4" x14ac:dyDescent="0.25">
      <c r="A72" t="s">
        <v>720</v>
      </c>
      <c r="B72" t="s">
        <v>1144</v>
      </c>
      <c r="C72" t="s">
        <v>690</v>
      </c>
      <c r="D72" t="s">
        <v>691</v>
      </c>
    </row>
    <row r="73" spans="1:4" x14ac:dyDescent="0.25">
      <c r="A73" t="s">
        <v>721</v>
      </c>
      <c r="B73" t="s">
        <v>1145</v>
      </c>
      <c r="C73" t="s">
        <v>690</v>
      </c>
      <c r="D73" t="s">
        <v>691</v>
      </c>
    </row>
    <row r="74" spans="1:4" x14ac:dyDescent="0.25">
      <c r="A74" t="s">
        <v>722</v>
      </c>
      <c r="B74" t="s">
        <v>1146</v>
      </c>
      <c r="C74" t="s">
        <v>653</v>
      </c>
      <c r="D74" t="s">
        <v>654</v>
      </c>
    </row>
    <row r="75" spans="1:4" x14ac:dyDescent="0.25">
      <c r="A75" t="s">
        <v>723</v>
      </c>
      <c r="B75" t="s">
        <v>1147</v>
      </c>
      <c r="C75" t="s">
        <v>690</v>
      </c>
      <c r="D75" t="s">
        <v>691</v>
      </c>
    </row>
    <row r="76" spans="1:4" x14ac:dyDescent="0.25">
      <c r="A76" t="s">
        <v>724</v>
      </c>
      <c r="B76" t="s">
        <v>1148</v>
      </c>
      <c r="C76" t="s">
        <v>649</v>
      </c>
      <c r="D76" t="s">
        <v>641</v>
      </c>
    </row>
    <row r="77" spans="1:4" x14ac:dyDescent="0.25">
      <c r="A77" t="s">
        <v>725</v>
      </c>
      <c r="B77" t="s">
        <v>1149</v>
      </c>
      <c r="C77" t="s">
        <v>633</v>
      </c>
      <c r="D77" t="s">
        <v>634</v>
      </c>
    </row>
    <row r="78" spans="1:4" x14ac:dyDescent="0.25">
      <c r="A78" t="s">
        <v>726</v>
      </c>
      <c r="B78" t="s">
        <v>1150</v>
      </c>
      <c r="C78" t="s">
        <v>645</v>
      </c>
      <c r="D78" t="s">
        <v>646</v>
      </c>
    </row>
    <row r="79" spans="1:4" x14ac:dyDescent="0.25">
      <c r="A79" t="s">
        <v>727</v>
      </c>
      <c r="B79" t="s">
        <v>1151</v>
      </c>
      <c r="C79" t="s">
        <v>633</v>
      </c>
      <c r="D79" t="s">
        <v>634</v>
      </c>
    </row>
    <row r="80" spans="1:4" x14ac:dyDescent="0.25">
      <c r="A80" t="s">
        <v>728</v>
      </c>
      <c r="B80" t="s">
        <v>1152</v>
      </c>
      <c r="C80" t="s">
        <v>642</v>
      </c>
      <c r="D80" t="s">
        <v>643</v>
      </c>
    </row>
    <row r="81" spans="1:4" x14ac:dyDescent="0.25">
      <c r="A81" t="s">
        <v>729</v>
      </c>
      <c r="B81" t="s">
        <v>1153</v>
      </c>
      <c r="C81" t="s">
        <v>621</v>
      </c>
      <c r="D81" t="s">
        <v>622</v>
      </c>
    </row>
    <row r="82" spans="1:4" x14ac:dyDescent="0.25">
      <c r="A82" t="s">
        <v>730</v>
      </c>
      <c r="B82" t="s">
        <v>1154</v>
      </c>
      <c r="C82" t="s">
        <v>653</v>
      </c>
      <c r="D82" t="s">
        <v>654</v>
      </c>
    </row>
    <row r="83" spans="1:4" x14ac:dyDescent="0.25">
      <c r="A83" t="s">
        <v>731</v>
      </c>
      <c r="B83" t="s">
        <v>1155</v>
      </c>
      <c r="C83" t="s">
        <v>639</v>
      </c>
      <c r="D83" t="s">
        <v>640</v>
      </c>
    </row>
    <row r="84" spans="1:4" x14ac:dyDescent="0.25">
      <c r="A84" t="s">
        <v>732</v>
      </c>
      <c r="B84" t="s">
        <v>1156</v>
      </c>
      <c r="C84" t="s">
        <v>624</v>
      </c>
      <c r="D84" t="s">
        <v>625</v>
      </c>
    </row>
    <row r="85" spans="1:4" x14ac:dyDescent="0.25">
      <c r="A85" t="s">
        <v>733</v>
      </c>
      <c r="B85" t="s">
        <v>1157</v>
      </c>
      <c r="C85" t="s">
        <v>642</v>
      </c>
      <c r="D85" t="s">
        <v>643</v>
      </c>
    </row>
    <row r="86" spans="1:4" x14ac:dyDescent="0.25">
      <c r="A86" t="s">
        <v>734</v>
      </c>
      <c r="B86" t="s">
        <v>1158</v>
      </c>
      <c r="C86" t="s">
        <v>645</v>
      </c>
      <c r="D86" t="s">
        <v>646</v>
      </c>
    </row>
    <row r="87" spans="1:4" x14ac:dyDescent="0.25">
      <c r="A87" t="s">
        <v>735</v>
      </c>
      <c r="B87" t="s">
        <v>220</v>
      </c>
      <c r="C87" t="s">
        <v>639</v>
      </c>
      <c r="D87" t="s">
        <v>640</v>
      </c>
    </row>
    <row r="88" spans="1:4" x14ac:dyDescent="0.25">
      <c r="A88" t="s">
        <v>736</v>
      </c>
      <c r="B88" t="s">
        <v>1159</v>
      </c>
      <c r="C88" t="s">
        <v>624</v>
      </c>
      <c r="D88" t="s">
        <v>625</v>
      </c>
    </row>
    <row r="89" spans="1:4" x14ac:dyDescent="0.25">
      <c r="A89" t="s">
        <v>737</v>
      </c>
      <c r="B89" t="s">
        <v>1160</v>
      </c>
      <c r="C89" t="s">
        <v>630</v>
      </c>
      <c r="D89" t="s">
        <v>631</v>
      </c>
    </row>
    <row r="90" spans="1:4" x14ac:dyDescent="0.25">
      <c r="A90" t="s">
        <v>738</v>
      </c>
      <c r="B90" t="s">
        <v>1161</v>
      </c>
      <c r="C90" t="s">
        <v>630</v>
      </c>
      <c r="D90" t="s">
        <v>631</v>
      </c>
    </row>
    <row r="91" spans="1:4" x14ac:dyDescent="0.25">
      <c r="A91" t="s">
        <v>739</v>
      </c>
      <c r="B91" t="s">
        <v>1162</v>
      </c>
      <c r="C91" t="s">
        <v>636</v>
      </c>
      <c r="D91" t="s">
        <v>637</v>
      </c>
    </row>
    <row r="92" spans="1:4" x14ac:dyDescent="0.25">
      <c r="A92" t="s">
        <v>740</v>
      </c>
      <c r="B92" t="s">
        <v>1163</v>
      </c>
      <c r="C92" t="s">
        <v>690</v>
      </c>
      <c r="D92" t="s">
        <v>691</v>
      </c>
    </row>
    <row r="93" spans="1:4" x14ac:dyDescent="0.25">
      <c r="A93" t="s">
        <v>741</v>
      </c>
      <c r="B93" t="s">
        <v>1164</v>
      </c>
      <c r="C93" t="s">
        <v>621</v>
      </c>
      <c r="D93" t="s">
        <v>622</v>
      </c>
    </row>
    <row r="94" spans="1:4" x14ac:dyDescent="0.25">
      <c r="A94" t="s">
        <v>742</v>
      </c>
      <c r="B94" t="s">
        <v>1165</v>
      </c>
      <c r="C94" t="s">
        <v>653</v>
      </c>
      <c r="D94" t="s">
        <v>654</v>
      </c>
    </row>
    <row r="95" spans="1:4" x14ac:dyDescent="0.25">
      <c r="A95" t="s">
        <v>743</v>
      </c>
      <c r="B95" t="s">
        <v>1166</v>
      </c>
      <c r="C95" t="s">
        <v>639</v>
      </c>
      <c r="D95" t="s">
        <v>640</v>
      </c>
    </row>
    <row r="96" spans="1:4" x14ac:dyDescent="0.25">
      <c r="A96" t="s">
        <v>744</v>
      </c>
      <c r="B96" t="s">
        <v>1167</v>
      </c>
      <c r="C96" t="s">
        <v>645</v>
      </c>
      <c r="D96" t="s">
        <v>646</v>
      </c>
    </row>
    <row r="97" spans="1:4" x14ac:dyDescent="0.25">
      <c r="A97" t="s">
        <v>745</v>
      </c>
      <c r="B97" t="s">
        <v>1168</v>
      </c>
      <c r="C97" t="s">
        <v>636</v>
      </c>
      <c r="D97" t="s">
        <v>637</v>
      </c>
    </row>
    <row r="98" spans="1:4" x14ac:dyDescent="0.25">
      <c r="A98" t="s">
        <v>746</v>
      </c>
      <c r="B98" t="s">
        <v>1169</v>
      </c>
      <c r="C98" t="s">
        <v>653</v>
      </c>
      <c r="D98" t="s">
        <v>654</v>
      </c>
    </row>
    <row r="99" spans="1:4" x14ac:dyDescent="0.25">
      <c r="A99" t="s">
        <v>747</v>
      </c>
      <c r="B99" t="s">
        <v>259</v>
      </c>
      <c r="C99" t="s">
        <v>636</v>
      </c>
      <c r="D99" t="s">
        <v>637</v>
      </c>
    </row>
    <row r="100" spans="1:4" x14ac:dyDescent="0.25">
      <c r="A100" t="s">
        <v>748</v>
      </c>
      <c r="B100" t="s">
        <v>1170</v>
      </c>
      <c r="C100" t="s">
        <v>633</v>
      </c>
      <c r="D100" t="s">
        <v>634</v>
      </c>
    </row>
    <row r="101" spans="1:4" x14ac:dyDescent="0.25">
      <c r="A101" t="s">
        <v>749</v>
      </c>
      <c r="B101" t="s">
        <v>1171</v>
      </c>
      <c r="C101" t="s">
        <v>627</v>
      </c>
      <c r="D101" t="s">
        <v>628</v>
      </c>
    </row>
    <row r="102" spans="1:4" x14ac:dyDescent="0.25">
      <c r="A102" t="s">
        <v>750</v>
      </c>
      <c r="B102" t="s">
        <v>1172</v>
      </c>
      <c r="C102" t="s">
        <v>642</v>
      </c>
      <c r="D102" t="s">
        <v>643</v>
      </c>
    </row>
    <row r="103" spans="1:4" x14ac:dyDescent="0.25">
      <c r="A103" t="s">
        <v>751</v>
      </c>
      <c r="B103" t="s">
        <v>1173</v>
      </c>
      <c r="C103" t="s">
        <v>621</v>
      </c>
      <c r="D103" t="s">
        <v>622</v>
      </c>
    </row>
    <row r="104" spans="1:4" x14ac:dyDescent="0.25">
      <c r="A104" t="s">
        <v>752</v>
      </c>
      <c r="B104" t="s">
        <v>1174</v>
      </c>
      <c r="C104" t="s">
        <v>636</v>
      </c>
      <c r="D104" t="s">
        <v>637</v>
      </c>
    </row>
    <row r="105" spans="1:4" x14ac:dyDescent="0.25">
      <c r="A105" t="s">
        <v>753</v>
      </c>
      <c r="B105" t="s">
        <v>1175</v>
      </c>
      <c r="C105" t="s">
        <v>633</v>
      </c>
      <c r="D105" t="s">
        <v>634</v>
      </c>
    </row>
    <row r="106" spans="1:4" x14ac:dyDescent="0.25">
      <c r="A106" t="s">
        <v>754</v>
      </c>
      <c r="B106" t="s">
        <v>1176</v>
      </c>
      <c r="C106" t="s">
        <v>649</v>
      </c>
      <c r="D106" t="s">
        <v>641</v>
      </c>
    </row>
    <row r="107" spans="1:4" x14ac:dyDescent="0.25">
      <c r="A107" t="s">
        <v>755</v>
      </c>
      <c r="B107" t="s">
        <v>1177</v>
      </c>
      <c r="C107" t="s">
        <v>636</v>
      </c>
      <c r="D107" t="s">
        <v>637</v>
      </c>
    </row>
    <row r="108" spans="1:4" x14ac:dyDescent="0.25">
      <c r="A108" t="s">
        <v>756</v>
      </c>
      <c r="B108" t="s">
        <v>1178</v>
      </c>
      <c r="C108" t="s">
        <v>621</v>
      </c>
      <c r="D108" t="s">
        <v>622</v>
      </c>
    </row>
    <row r="109" spans="1:4" x14ac:dyDescent="0.25">
      <c r="A109" t="s">
        <v>757</v>
      </c>
      <c r="B109" t="s">
        <v>1179</v>
      </c>
      <c r="C109" t="s">
        <v>667</v>
      </c>
      <c r="D109" t="s">
        <v>668</v>
      </c>
    </row>
    <row r="110" spans="1:4" x14ac:dyDescent="0.25">
      <c r="A110" t="s">
        <v>758</v>
      </c>
      <c r="B110" t="s">
        <v>1180</v>
      </c>
      <c r="C110" t="s">
        <v>653</v>
      </c>
      <c r="D110" t="s">
        <v>654</v>
      </c>
    </row>
    <row r="111" spans="1:4" x14ac:dyDescent="0.25">
      <c r="A111" t="s">
        <v>759</v>
      </c>
      <c r="B111" t="s">
        <v>1181</v>
      </c>
      <c r="C111" t="s">
        <v>645</v>
      </c>
      <c r="D111" t="s">
        <v>646</v>
      </c>
    </row>
    <row r="112" spans="1:4" x14ac:dyDescent="0.25">
      <c r="A112" t="s">
        <v>760</v>
      </c>
      <c r="B112" t="s">
        <v>1182</v>
      </c>
      <c r="C112" t="s">
        <v>690</v>
      </c>
      <c r="D112" t="s">
        <v>691</v>
      </c>
    </row>
    <row r="113" spans="1:4" x14ac:dyDescent="0.25">
      <c r="A113" t="s">
        <v>761</v>
      </c>
      <c r="B113" t="s">
        <v>1183</v>
      </c>
      <c r="C113" t="s">
        <v>621</v>
      </c>
      <c r="D113" t="s">
        <v>622</v>
      </c>
    </row>
    <row r="114" spans="1:4" x14ac:dyDescent="0.25">
      <c r="A114" t="s">
        <v>643</v>
      </c>
      <c r="B114" t="s">
        <v>1184</v>
      </c>
      <c r="C114" t="s">
        <v>627</v>
      </c>
      <c r="D114" t="s">
        <v>628</v>
      </c>
    </row>
    <row r="115" spans="1:4" x14ac:dyDescent="0.25">
      <c r="A115" t="s">
        <v>762</v>
      </c>
      <c r="B115" t="s">
        <v>1185</v>
      </c>
      <c r="C115" t="s">
        <v>624</v>
      </c>
      <c r="D115" t="s">
        <v>625</v>
      </c>
    </row>
    <row r="116" spans="1:4" x14ac:dyDescent="0.25">
      <c r="A116" t="s">
        <v>763</v>
      </c>
      <c r="B116" t="s">
        <v>1186</v>
      </c>
      <c r="C116" t="s">
        <v>663</v>
      </c>
      <c r="D116" t="s">
        <v>664</v>
      </c>
    </row>
    <row r="117" spans="1:4" x14ac:dyDescent="0.25">
      <c r="A117" t="s">
        <v>764</v>
      </c>
      <c r="B117" t="s">
        <v>1187</v>
      </c>
      <c r="C117" t="s">
        <v>690</v>
      </c>
      <c r="D117" t="s">
        <v>691</v>
      </c>
    </row>
    <row r="118" spans="1:4" x14ac:dyDescent="0.25">
      <c r="A118" t="s">
        <v>765</v>
      </c>
      <c r="B118" t="s">
        <v>1188</v>
      </c>
      <c r="C118" t="s">
        <v>636</v>
      </c>
      <c r="D118" t="s">
        <v>637</v>
      </c>
    </row>
    <row r="119" spans="1:4" x14ac:dyDescent="0.25">
      <c r="A119" t="s">
        <v>766</v>
      </c>
      <c r="B119" t="s">
        <v>1189</v>
      </c>
      <c r="C119" t="s">
        <v>686</v>
      </c>
      <c r="D119" t="s">
        <v>687</v>
      </c>
    </row>
    <row r="120" spans="1:4" x14ac:dyDescent="0.25">
      <c r="A120" t="s">
        <v>767</v>
      </c>
      <c r="B120" t="s">
        <v>1190</v>
      </c>
      <c r="C120" t="s">
        <v>633</v>
      </c>
      <c r="D120" t="s">
        <v>634</v>
      </c>
    </row>
    <row r="121" spans="1:4" x14ac:dyDescent="0.25">
      <c r="A121" t="s">
        <v>768</v>
      </c>
      <c r="B121" t="s">
        <v>1191</v>
      </c>
      <c r="C121" t="s">
        <v>630</v>
      </c>
      <c r="D121" t="s">
        <v>631</v>
      </c>
    </row>
    <row r="122" spans="1:4" x14ac:dyDescent="0.25">
      <c r="A122" t="s">
        <v>769</v>
      </c>
      <c r="B122" t="s">
        <v>1192</v>
      </c>
      <c r="C122" t="s">
        <v>627</v>
      </c>
      <c r="D122" t="s">
        <v>628</v>
      </c>
    </row>
    <row r="123" spans="1:4" x14ac:dyDescent="0.25">
      <c r="A123" t="s">
        <v>770</v>
      </c>
      <c r="B123" t="s">
        <v>1193</v>
      </c>
      <c r="C123" t="s">
        <v>663</v>
      </c>
      <c r="D123" t="s">
        <v>664</v>
      </c>
    </row>
    <row r="124" spans="1:4" x14ac:dyDescent="0.25">
      <c r="A124" t="s">
        <v>771</v>
      </c>
      <c r="B124" t="s">
        <v>1194</v>
      </c>
      <c r="C124" t="s">
        <v>627</v>
      </c>
      <c r="D124" t="s">
        <v>628</v>
      </c>
    </row>
    <row r="125" spans="1:4" x14ac:dyDescent="0.25">
      <c r="A125" t="s">
        <v>772</v>
      </c>
      <c r="B125" t="s">
        <v>1195</v>
      </c>
      <c r="C125" t="s">
        <v>667</v>
      </c>
      <c r="D125" t="s">
        <v>668</v>
      </c>
    </row>
    <row r="126" spans="1:4" x14ac:dyDescent="0.25">
      <c r="A126" t="s">
        <v>773</v>
      </c>
      <c r="B126" t="s">
        <v>1196</v>
      </c>
      <c r="C126" t="s">
        <v>630</v>
      </c>
      <c r="D126" t="s">
        <v>631</v>
      </c>
    </row>
    <row r="127" spans="1:4" x14ac:dyDescent="0.25">
      <c r="A127" t="s">
        <v>774</v>
      </c>
      <c r="B127" t="s">
        <v>1197</v>
      </c>
      <c r="C127" t="s">
        <v>690</v>
      </c>
      <c r="D127" t="s">
        <v>691</v>
      </c>
    </row>
    <row r="128" spans="1:4" x14ac:dyDescent="0.25">
      <c r="A128" t="s">
        <v>775</v>
      </c>
      <c r="B128" t="s">
        <v>1198</v>
      </c>
      <c r="C128" t="s">
        <v>633</v>
      </c>
      <c r="D128" t="s">
        <v>634</v>
      </c>
    </row>
    <row r="129" spans="1:4" x14ac:dyDescent="0.25">
      <c r="A129" t="s">
        <v>776</v>
      </c>
      <c r="B129" t="s">
        <v>1199</v>
      </c>
      <c r="C129" t="s">
        <v>639</v>
      </c>
      <c r="D129" t="s">
        <v>640</v>
      </c>
    </row>
    <row r="130" spans="1:4" x14ac:dyDescent="0.25">
      <c r="A130" t="s">
        <v>777</v>
      </c>
      <c r="B130" t="s">
        <v>1200</v>
      </c>
      <c r="C130" t="s">
        <v>690</v>
      </c>
      <c r="D130" t="s">
        <v>691</v>
      </c>
    </row>
    <row r="131" spans="1:4" x14ac:dyDescent="0.25">
      <c r="A131" t="s">
        <v>778</v>
      </c>
      <c r="B131" t="s">
        <v>1201</v>
      </c>
      <c r="C131" t="s">
        <v>639</v>
      </c>
      <c r="D131" t="s">
        <v>640</v>
      </c>
    </row>
    <row r="132" spans="1:4" x14ac:dyDescent="0.25">
      <c r="A132" t="s">
        <v>779</v>
      </c>
      <c r="B132" t="s">
        <v>1202</v>
      </c>
      <c r="C132" t="s">
        <v>667</v>
      </c>
      <c r="D132" t="s">
        <v>668</v>
      </c>
    </row>
    <row r="133" spans="1:4" x14ac:dyDescent="0.25">
      <c r="A133" t="s">
        <v>780</v>
      </c>
      <c r="B133" t="s">
        <v>1203</v>
      </c>
      <c r="C133" t="s">
        <v>633</v>
      </c>
      <c r="D133" t="s">
        <v>634</v>
      </c>
    </row>
    <row r="134" spans="1:4" x14ac:dyDescent="0.25">
      <c r="A134" t="s">
        <v>781</v>
      </c>
      <c r="B134" t="s">
        <v>1204</v>
      </c>
      <c r="C134" t="s">
        <v>639</v>
      </c>
      <c r="D134" t="s">
        <v>640</v>
      </c>
    </row>
    <row r="135" spans="1:4" x14ac:dyDescent="0.25">
      <c r="A135" t="s">
        <v>782</v>
      </c>
      <c r="B135" t="s">
        <v>1205</v>
      </c>
      <c r="C135" t="s">
        <v>686</v>
      </c>
      <c r="D135" t="s">
        <v>687</v>
      </c>
    </row>
    <row r="136" spans="1:4" x14ac:dyDescent="0.25">
      <c r="A136" t="s">
        <v>783</v>
      </c>
      <c r="B136" t="s">
        <v>1206</v>
      </c>
      <c r="C136" t="s">
        <v>645</v>
      </c>
      <c r="D136" t="s">
        <v>646</v>
      </c>
    </row>
    <row r="137" spans="1:4" x14ac:dyDescent="0.25">
      <c r="A137" t="s">
        <v>784</v>
      </c>
      <c r="B137" t="s">
        <v>1207</v>
      </c>
      <c r="C137" t="s">
        <v>713</v>
      </c>
      <c r="D137" t="s">
        <v>714</v>
      </c>
    </row>
    <row r="138" spans="1:4" x14ac:dyDescent="0.25">
      <c r="A138" t="s">
        <v>785</v>
      </c>
      <c r="B138" t="s">
        <v>1208</v>
      </c>
      <c r="C138" t="s">
        <v>630</v>
      </c>
      <c r="D138" t="s">
        <v>631</v>
      </c>
    </row>
    <row r="139" spans="1:4" x14ac:dyDescent="0.25">
      <c r="A139" t="s">
        <v>786</v>
      </c>
      <c r="B139" t="s">
        <v>1209</v>
      </c>
      <c r="C139" t="s">
        <v>633</v>
      </c>
      <c r="D139" t="s">
        <v>634</v>
      </c>
    </row>
    <row r="140" spans="1:4" x14ac:dyDescent="0.25">
      <c r="A140" t="s">
        <v>787</v>
      </c>
      <c r="B140" t="s">
        <v>1210</v>
      </c>
      <c r="C140" t="s">
        <v>713</v>
      </c>
      <c r="D140" t="s">
        <v>714</v>
      </c>
    </row>
    <row r="141" spans="1:4" x14ac:dyDescent="0.25">
      <c r="A141" t="s">
        <v>788</v>
      </c>
      <c r="B141" t="s">
        <v>1211</v>
      </c>
      <c r="C141" t="s">
        <v>621</v>
      </c>
      <c r="D141" t="s">
        <v>622</v>
      </c>
    </row>
    <row r="142" spans="1:4" x14ac:dyDescent="0.25">
      <c r="A142" t="s">
        <v>789</v>
      </c>
      <c r="B142" t="s">
        <v>1212</v>
      </c>
      <c r="C142" t="s">
        <v>645</v>
      </c>
      <c r="D142" t="s">
        <v>646</v>
      </c>
    </row>
    <row r="143" spans="1:4" x14ac:dyDescent="0.25">
      <c r="A143" t="s">
        <v>790</v>
      </c>
      <c r="B143" t="s">
        <v>1213</v>
      </c>
      <c r="C143" t="s">
        <v>653</v>
      </c>
      <c r="D143" t="s">
        <v>654</v>
      </c>
    </row>
    <row r="144" spans="1:4" x14ac:dyDescent="0.25">
      <c r="A144" t="s">
        <v>791</v>
      </c>
      <c r="B144" t="s">
        <v>1214</v>
      </c>
      <c r="C144" t="s">
        <v>630</v>
      </c>
      <c r="D144" t="s">
        <v>631</v>
      </c>
    </row>
    <row r="145" spans="1:4" x14ac:dyDescent="0.25">
      <c r="A145" t="s">
        <v>792</v>
      </c>
      <c r="B145" t="s">
        <v>1215</v>
      </c>
      <c r="C145" t="s">
        <v>649</v>
      </c>
      <c r="D145" t="s">
        <v>641</v>
      </c>
    </row>
    <row r="146" spans="1:4" x14ac:dyDescent="0.25">
      <c r="A146" t="s">
        <v>793</v>
      </c>
      <c r="B146" t="s">
        <v>1216</v>
      </c>
      <c r="C146" t="s">
        <v>653</v>
      </c>
      <c r="D146" t="s">
        <v>654</v>
      </c>
    </row>
    <row r="147" spans="1:4" x14ac:dyDescent="0.25">
      <c r="A147" t="s">
        <v>794</v>
      </c>
      <c r="B147" t="s">
        <v>1217</v>
      </c>
      <c r="C147" t="s">
        <v>642</v>
      </c>
      <c r="D147" t="s">
        <v>643</v>
      </c>
    </row>
    <row r="148" spans="1:4" x14ac:dyDescent="0.25">
      <c r="A148" t="s">
        <v>795</v>
      </c>
      <c r="B148" t="s">
        <v>1218</v>
      </c>
      <c r="C148" t="s">
        <v>653</v>
      </c>
      <c r="D148" t="s">
        <v>654</v>
      </c>
    </row>
    <row r="149" spans="1:4" x14ac:dyDescent="0.25">
      <c r="A149" t="s">
        <v>796</v>
      </c>
      <c r="B149" t="s">
        <v>1219</v>
      </c>
      <c r="C149" t="s">
        <v>636</v>
      </c>
      <c r="D149" t="s">
        <v>637</v>
      </c>
    </row>
    <row r="150" spans="1:4" x14ac:dyDescent="0.25">
      <c r="A150" t="s">
        <v>797</v>
      </c>
      <c r="B150" t="s">
        <v>1220</v>
      </c>
      <c r="C150" t="s">
        <v>630</v>
      </c>
      <c r="D150" t="s">
        <v>631</v>
      </c>
    </row>
    <row r="151" spans="1:4" x14ac:dyDescent="0.25">
      <c r="A151" t="s">
        <v>798</v>
      </c>
      <c r="B151" t="s">
        <v>1221</v>
      </c>
      <c r="C151" t="s">
        <v>649</v>
      </c>
      <c r="D151" t="s">
        <v>641</v>
      </c>
    </row>
    <row r="152" spans="1:4" x14ac:dyDescent="0.25">
      <c r="A152" t="s">
        <v>799</v>
      </c>
      <c r="B152" t="s">
        <v>1222</v>
      </c>
      <c r="C152" t="s">
        <v>624</v>
      </c>
      <c r="D152" t="s">
        <v>625</v>
      </c>
    </row>
    <row r="153" spans="1:4" x14ac:dyDescent="0.25">
      <c r="A153" t="s">
        <v>646</v>
      </c>
      <c r="B153" t="s">
        <v>1223</v>
      </c>
      <c r="C153" t="s">
        <v>645</v>
      </c>
      <c r="D153" t="s">
        <v>646</v>
      </c>
    </row>
    <row r="154" spans="1:4" x14ac:dyDescent="0.25">
      <c r="A154" t="s">
        <v>800</v>
      </c>
      <c r="B154" t="s">
        <v>1224</v>
      </c>
      <c r="C154" t="s">
        <v>645</v>
      </c>
      <c r="D154" t="s">
        <v>646</v>
      </c>
    </row>
    <row r="155" spans="1:4" x14ac:dyDescent="0.25">
      <c r="A155" t="s">
        <v>801</v>
      </c>
      <c r="B155" t="s">
        <v>1225</v>
      </c>
      <c r="C155" t="s">
        <v>653</v>
      </c>
      <c r="D155" t="s">
        <v>654</v>
      </c>
    </row>
    <row r="156" spans="1:4" x14ac:dyDescent="0.25">
      <c r="A156" t="s">
        <v>802</v>
      </c>
      <c r="B156" t="s">
        <v>1226</v>
      </c>
      <c r="C156" t="s">
        <v>621</v>
      </c>
      <c r="D156" t="s">
        <v>622</v>
      </c>
    </row>
    <row r="157" spans="1:4" x14ac:dyDescent="0.25">
      <c r="A157" t="s">
        <v>803</v>
      </c>
      <c r="B157" t="s">
        <v>1227</v>
      </c>
      <c r="C157" t="s">
        <v>624</v>
      </c>
      <c r="D157" t="s">
        <v>625</v>
      </c>
    </row>
    <row r="158" spans="1:4" x14ac:dyDescent="0.25">
      <c r="A158" t="s">
        <v>804</v>
      </c>
      <c r="B158" t="s">
        <v>1228</v>
      </c>
      <c r="C158" t="s">
        <v>686</v>
      </c>
      <c r="D158" t="s">
        <v>687</v>
      </c>
    </row>
    <row r="159" spans="1:4" x14ac:dyDescent="0.25">
      <c r="A159" t="s">
        <v>805</v>
      </c>
      <c r="B159" t="s">
        <v>1229</v>
      </c>
      <c r="C159" t="s">
        <v>642</v>
      </c>
      <c r="D159" t="s">
        <v>643</v>
      </c>
    </row>
    <row r="160" spans="1:4" x14ac:dyDescent="0.25">
      <c r="A160" t="s">
        <v>806</v>
      </c>
      <c r="B160" t="s">
        <v>1230</v>
      </c>
      <c r="C160" t="s">
        <v>713</v>
      </c>
      <c r="D160" t="s">
        <v>714</v>
      </c>
    </row>
    <row r="161" spans="1:4" x14ac:dyDescent="0.25">
      <c r="A161" t="s">
        <v>807</v>
      </c>
      <c r="B161" t="s">
        <v>1231</v>
      </c>
      <c r="C161" t="s">
        <v>686</v>
      </c>
      <c r="D161" t="s">
        <v>687</v>
      </c>
    </row>
    <row r="162" spans="1:4" x14ac:dyDescent="0.25">
      <c r="A162" t="s">
        <v>808</v>
      </c>
      <c r="B162" t="s">
        <v>1232</v>
      </c>
      <c r="C162" t="s">
        <v>653</v>
      </c>
      <c r="D162" t="s">
        <v>654</v>
      </c>
    </row>
    <row r="163" spans="1:4" x14ac:dyDescent="0.25">
      <c r="A163" t="s">
        <v>809</v>
      </c>
      <c r="B163" t="s">
        <v>1233</v>
      </c>
      <c r="C163" t="s">
        <v>713</v>
      </c>
      <c r="D163" t="s">
        <v>714</v>
      </c>
    </row>
    <row r="164" spans="1:4" x14ac:dyDescent="0.25">
      <c r="A164" t="s">
        <v>810</v>
      </c>
      <c r="B164" t="s">
        <v>1234</v>
      </c>
      <c r="C164" t="s">
        <v>639</v>
      </c>
      <c r="D164" t="s">
        <v>640</v>
      </c>
    </row>
    <row r="165" spans="1:4" x14ac:dyDescent="0.25">
      <c r="A165" t="s">
        <v>811</v>
      </c>
      <c r="B165" t="s">
        <v>1235</v>
      </c>
      <c r="C165" t="s">
        <v>686</v>
      </c>
      <c r="D165" t="s">
        <v>687</v>
      </c>
    </row>
    <row r="166" spans="1:4" x14ac:dyDescent="0.25">
      <c r="A166" t="s">
        <v>625</v>
      </c>
      <c r="B166" t="s">
        <v>1236</v>
      </c>
      <c r="C166" t="s">
        <v>624</v>
      </c>
      <c r="D166" t="s">
        <v>625</v>
      </c>
    </row>
    <row r="167" spans="1:4" x14ac:dyDescent="0.25">
      <c r="A167" t="s">
        <v>812</v>
      </c>
      <c r="B167" t="s">
        <v>1237</v>
      </c>
      <c r="C167" t="s">
        <v>653</v>
      </c>
      <c r="D167" t="s">
        <v>654</v>
      </c>
    </row>
    <row r="168" spans="1:4" x14ac:dyDescent="0.25">
      <c r="A168" t="s">
        <v>813</v>
      </c>
      <c r="B168" t="s">
        <v>1238</v>
      </c>
      <c r="C168" t="s">
        <v>653</v>
      </c>
      <c r="D168" t="s">
        <v>654</v>
      </c>
    </row>
    <row r="169" spans="1:4" x14ac:dyDescent="0.25">
      <c r="A169" t="s">
        <v>814</v>
      </c>
      <c r="B169" t="s">
        <v>1239</v>
      </c>
      <c r="C169" t="s">
        <v>633</v>
      </c>
      <c r="D169" t="s">
        <v>634</v>
      </c>
    </row>
    <row r="170" spans="1:4" x14ac:dyDescent="0.25">
      <c r="A170" t="s">
        <v>815</v>
      </c>
      <c r="B170" t="s">
        <v>1240</v>
      </c>
      <c r="C170" t="s">
        <v>633</v>
      </c>
      <c r="D170" t="s">
        <v>634</v>
      </c>
    </row>
    <row r="171" spans="1:4" x14ac:dyDescent="0.25">
      <c r="A171" t="s">
        <v>816</v>
      </c>
      <c r="B171" t="s">
        <v>1241</v>
      </c>
      <c r="C171" t="s">
        <v>642</v>
      </c>
      <c r="D171" t="s">
        <v>643</v>
      </c>
    </row>
    <row r="172" spans="1:4" x14ac:dyDescent="0.25">
      <c r="A172" t="s">
        <v>817</v>
      </c>
      <c r="B172" t="s">
        <v>1242</v>
      </c>
      <c r="C172" t="s">
        <v>636</v>
      </c>
      <c r="D172" t="s">
        <v>637</v>
      </c>
    </row>
    <row r="173" spans="1:4" x14ac:dyDescent="0.25">
      <c r="A173" t="s">
        <v>818</v>
      </c>
      <c r="B173" t="s">
        <v>1243</v>
      </c>
      <c r="C173" t="s">
        <v>621</v>
      </c>
      <c r="D173" t="s">
        <v>622</v>
      </c>
    </row>
    <row r="174" spans="1:4" x14ac:dyDescent="0.25">
      <c r="A174" t="s">
        <v>819</v>
      </c>
      <c r="B174" t="s">
        <v>1244</v>
      </c>
      <c r="C174" t="s">
        <v>645</v>
      </c>
      <c r="D174" t="s">
        <v>646</v>
      </c>
    </row>
    <row r="175" spans="1:4" x14ac:dyDescent="0.25">
      <c r="A175" t="s">
        <v>820</v>
      </c>
      <c r="B175" t="s">
        <v>1245</v>
      </c>
      <c r="C175" t="s">
        <v>627</v>
      </c>
      <c r="D175" t="s">
        <v>628</v>
      </c>
    </row>
    <row r="176" spans="1:4" x14ac:dyDescent="0.25">
      <c r="A176" t="s">
        <v>821</v>
      </c>
      <c r="B176" t="s">
        <v>1246</v>
      </c>
      <c r="C176" t="s">
        <v>690</v>
      </c>
      <c r="D176" t="s">
        <v>691</v>
      </c>
    </row>
    <row r="177" spans="1:4" x14ac:dyDescent="0.25">
      <c r="A177" t="s">
        <v>822</v>
      </c>
      <c r="B177" t="s">
        <v>1247</v>
      </c>
      <c r="C177" t="s">
        <v>627</v>
      </c>
      <c r="D177" t="s">
        <v>628</v>
      </c>
    </row>
    <row r="178" spans="1:4" x14ac:dyDescent="0.25">
      <c r="A178" t="s">
        <v>823</v>
      </c>
      <c r="B178" t="s">
        <v>1248</v>
      </c>
      <c r="C178" t="s">
        <v>633</v>
      </c>
      <c r="D178" t="s">
        <v>634</v>
      </c>
    </row>
    <row r="179" spans="1:4" x14ac:dyDescent="0.25">
      <c r="A179" t="s">
        <v>824</v>
      </c>
      <c r="B179" t="s">
        <v>1249</v>
      </c>
      <c r="C179" t="s">
        <v>630</v>
      </c>
      <c r="D179" t="s">
        <v>631</v>
      </c>
    </row>
    <row r="180" spans="1:4" x14ac:dyDescent="0.25">
      <c r="A180" t="s">
        <v>825</v>
      </c>
      <c r="B180" t="s">
        <v>1250</v>
      </c>
      <c r="C180" t="s">
        <v>636</v>
      </c>
      <c r="D180" t="s">
        <v>637</v>
      </c>
    </row>
    <row r="181" spans="1:4" x14ac:dyDescent="0.25">
      <c r="A181" t="s">
        <v>826</v>
      </c>
      <c r="B181" t="s">
        <v>1251</v>
      </c>
      <c r="C181" t="s">
        <v>636</v>
      </c>
      <c r="D181" t="s">
        <v>637</v>
      </c>
    </row>
    <row r="182" spans="1:4" x14ac:dyDescent="0.25">
      <c r="A182" t="s">
        <v>827</v>
      </c>
      <c r="B182" t="s">
        <v>1252</v>
      </c>
      <c r="C182" t="s">
        <v>627</v>
      </c>
      <c r="D182" t="s">
        <v>628</v>
      </c>
    </row>
    <row r="183" spans="1:4" x14ac:dyDescent="0.25">
      <c r="A183" t="s">
        <v>828</v>
      </c>
      <c r="B183" t="s">
        <v>1253</v>
      </c>
      <c r="C183" t="s">
        <v>690</v>
      </c>
      <c r="D183" t="s">
        <v>691</v>
      </c>
    </row>
    <row r="184" spans="1:4" x14ac:dyDescent="0.25">
      <c r="A184" t="s">
        <v>829</v>
      </c>
      <c r="B184" t="s">
        <v>1254</v>
      </c>
      <c r="C184" t="s">
        <v>621</v>
      </c>
      <c r="D184" t="s">
        <v>622</v>
      </c>
    </row>
    <row r="185" spans="1:4" x14ac:dyDescent="0.25">
      <c r="A185" t="s">
        <v>830</v>
      </c>
      <c r="B185" t="s">
        <v>1255</v>
      </c>
      <c r="C185" t="s">
        <v>690</v>
      </c>
      <c r="D185" t="s">
        <v>691</v>
      </c>
    </row>
    <row r="186" spans="1:4" x14ac:dyDescent="0.25">
      <c r="A186" t="s">
        <v>831</v>
      </c>
      <c r="B186" t="s">
        <v>1256</v>
      </c>
      <c r="C186" t="s">
        <v>636</v>
      </c>
      <c r="D186" t="s">
        <v>637</v>
      </c>
    </row>
    <row r="187" spans="1:4" x14ac:dyDescent="0.25">
      <c r="A187" t="s">
        <v>832</v>
      </c>
      <c r="B187" t="s">
        <v>1257</v>
      </c>
      <c r="C187" t="s">
        <v>624</v>
      </c>
      <c r="D187" t="s">
        <v>625</v>
      </c>
    </row>
    <row r="188" spans="1:4" x14ac:dyDescent="0.25">
      <c r="A188" t="s">
        <v>833</v>
      </c>
      <c r="B188" t="s">
        <v>1258</v>
      </c>
      <c r="C188" t="s">
        <v>627</v>
      </c>
      <c r="D188" t="s">
        <v>628</v>
      </c>
    </row>
    <row r="189" spans="1:4" x14ac:dyDescent="0.25">
      <c r="A189" t="s">
        <v>834</v>
      </c>
      <c r="B189" t="s">
        <v>1259</v>
      </c>
      <c r="C189" t="s">
        <v>636</v>
      </c>
      <c r="D189" t="s">
        <v>637</v>
      </c>
    </row>
    <row r="190" spans="1:4" x14ac:dyDescent="0.25">
      <c r="A190" t="s">
        <v>835</v>
      </c>
      <c r="B190" t="s">
        <v>1260</v>
      </c>
      <c r="C190" t="s">
        <v>663</v>
      </c>
      <c r="D190" t="s">
        <v>664</v>
      </c>
    </row>
    <row r="191" spans="1:4" x14ac:dyDescent="0.25">
      <c r="A191" t="s">
        <v>836</v>
      </c>
      <c r="B191" t="s">
        <v>1261</v>
      </c>
      <c r="C191" t="s">
        <v>621</v>
      </c>
      <c r="D191" t="s">
        <v>622</v>
      </c>
    </row>
    <row r="192" spans="1:4" x14ac:dyDescent="0.25">
      <c r="A192" t="s">
        <v>837</v>
      </c>
      <c r="B192" t="s">
        <v>1262</v>
      </c>
      <c r="C192" t="s">
        <v>636</v>
      </c>
      <c r="D192" t="s">
        <v>637</v>
      </c>
    </row>
    <row r="193" spans="1:4" x14ac:dyDescent="0.25">
      <c r="A193" t="s">
        <v>838</v>
      </c>
      <c r="B193" t="s">
        <v>1263</v>
      </c>
      <c r="C193" t="s">
        <v>686</v>
      </c>
      <c r="D193" t="s">
        <v>687</v>
      </c>
    </row>
    <row r="194" spans="1:4" x14ac:dyDescent="0.25">
      <c r="A194" t="s">
        <v>839</v>
      </c>
      <c r="B194" t="s">
        <v>1264</v>
      </c>
      <c r="C194" t="s">
        <v>639</v>
      </c>
      <c r="D194" t="s">
        <v>640</v>
      </c>
    </row>
    <row r="195" spans="1:4" x14ac:dyDescent="0.25">
      <c r="A195" t="s">
        <v>840</v>
      </c>
      <c r="B195" t="s">
        <v>1265</v>
      </c>
      <c r="C195" t="s">
        <v>621</v>
      </c>
      <c r="D195" t="s">
        <v>622</v>
      </c>
    </row>
    <row r="196" spans="1:4" x14ac:dyDescent="0.25">
      <c r="A196" t="s">
        <v>841</v>
      </c>
      <c r="B196" t="s">
        <v>1266</v>
      </c>
      <c r="C196" t="s">
        <v>624</v>
      </c>
      <c r="D196" t="s">
        <v>625</v>
      </c>
    </row>
    <row r="197" spans="1:4" x14ac:dyDescent="0.25">
      <c r="A197" t="s">
        <v>842</v>
      </c>
      <c r="B197" t="s">
        <v>1267</v>
      </c>
      <c r="C197" t="s">
        <v>630</v>
      </c>
      <c r="D197" t="s">
        <v>631</v>
      </c>
    </row>
    <row r="198" spans="1:4" x14ac:dyDescent="0.25">
      <c r="A198" t="s">
        <v>843</v>
      </c>
      <c r="B198" t="s">
        <v>1268</v>
      </c>
      <c r="C198" t="s">
        <v>636</v>
      </c>
      <c r="D198" t="s">
        <v>637</v>
      </c>
    </row>
    <row r="199" spans="1:4" x14ac:dyDescent="0.25">
      <c r="A199" t="s">
        <v>844</v>
      </c>
      <c r="B199" t="s">
        <v>1269</v>
      </c>
      <c r="C199" t="s">
        <v>653</v>
      </c>
      <c r="D199" t="s">
        <v>654</v>
      </c>
    </row>
    <row r="200" spans="1:4" x14ac:dyDescent="0.25">
      <c r="A200" t="s">
        <v>845</v>
      </c>
      <c r="B200" t="s">
        <v>1270</v>
      </c>
      <c r="C200" t="s">
        <v>690</v>
      </c>
      <c r="D200" t="s">
        <v>691</v>
      </c>
    </row>
    <row r="201" spans="1:4" x14ac:dyDescent="0.25">
      <c r="A201" t="s">
        <v>846</v>
      </c>
      <c r="B201" t="s">
        <v>1271</v>
      </c>
      <c r="C201" t="s">
        <v>633</v>
      </c>
      <c r="D201" t="s">
        <v>634</v>
      </c>
    </row>
    <row r="202" spans="1:4" x14ac:dyDescent="0.25">
      <c r="A202" t="s">
        <v>847</v>
      </c>
      <c r="B202" t="s">
        <v>1272</v>
      </c>
      <c r="C202" t="s">
        <v>621</v>
      </c>
      <c r="D202" t="s">
        <v>622</v>
      </c>
    </row>
    <row r="203" spans="1:4" x14ac:dyDescent="0.25">
      <c r="A203" t="s">
        <v>848</v>
      </c>
      <c r="B203" t="s">
        <v>1273</v>
      </c>
      <c r="C203" t="s">
        <v>627</v>
      </c>
      <c r="D203" t="s">
        <v>628</v>
      </c>
    </row>
    <row r="204" spans="1:4" x14ac:dyDescent="0.25">
      <c r="A204" t="s">
        <v>849</v>
      </c>
      <c r="B204" t="s">
        <v>1274</v>
      </c>
      <c r="C204" t="s">
        <v>627</v>
      </c>
      <c r="D204" t="s">
        <v>628</v>
      </c>
    </row>
    <row r="205" spans="1:4" x14ac:dyDescent="0.25">
      <c r="A205" t="s">
        <v>850</v>
      </c>
      <c r="B205" t="s">
        <v>1275</v>
      </c>
      <c r="C205" t="s">
        <v>627</v>
      </c>
      <c r="D205" t="s">
        <v>628</v>
      </c>
    </row>
    <row r="206" spans="1:4" x14ac:dyDescent="0.25">
      <c r="A206" t="s">
        <v>851</v>
      </c>
      <c r="B206" t="s">
        <v>1276</v>
      </c>
      <c r="C206" t="s">
        <v>630</v>
      </c>
      <c r="D206" t="s">
        <v>631</v>
      </c>
    </row>
    <row r="207" spans="1:4" x14ac:dyDescent="0.25">
      <c r="A207" t="s">
        <v>852</v>
      </c>
      <c r="B207" t="s">
        <v>1277</v>
      </c>
      <c r="C207" t="s">
        <v>653</v>
      </c>
      <c r="D207" t="s">
        <v>654</v>
      </c>
    </row>
    <row r="208" spans="1:4" x14ac:dyDescent="0.25">
      <c r="A208" t="s">
        <v>853</v>
      </c>
      <c r="B208" t="s">
        <v>1278</v>
      </c>
      <c r="C208" t="s">
        <v>686</v>
      </c>
      <c r="D208" t="s">
        <v>687</v>
      </c>
    </row>
    <row r="209" spans="1:4" x14ac:dyDescent="0.25">
      <c r="A209" t="s">
        <v>854</v>
      </c>
      <c r="B209" t="s">
        <v>1279</v>
      </c>
      <c r="C209" t="s">
        <v>633</v>
      </c>
      <c r="D209" t="s">
        <v>634</v>
      </c>
    </row>
    <row r="210" spans="1:4" x14ac:dyDescent="0.25">
      <c r="A210" t="s">
        <v>855</v>
      </c>
      <c r="B210" t="s">
        <v>1280</v>
      </c>
      <c r="C210" t="s">
        <v>633</v>
      </c>
      <c r="D210" t="s">
        <v>634</v>
      </c>
    </row>
    <row r="211" spans="1:4" x14ac:dyDescent="0.25">
      <c r="A211" t="s">
        <v>856</v>
      </c>
      <c r="B211" t="s">
        <v>1281</v>
      </c>
      <c r="C211" t="s">
        <v>627</v>
      </c>
      <c r="D211" t="s">
        <v>628</v>
      </c>
    </row>
    <row r="212" spans="1:4" x14ac:dyDescent="0.25">
      <c r="A212" t="s">
        <v>857</v>
      </c>
      <c r="B212" t="s">
        <v>1282</v>
      </c>
      <c r="C212" t="s">
        <v>636</v>
      </c>
      <c r="D212" t="s">
        <v>637</v>
      </c>
    </row>
    <row r="213" spans="1:4" x14ac:dyDescent="0.25">
      <c r="A213" t="s">
        <v>858</v>
      </c>
      <c r="B213" t="s">
        <v>1283</v>
      </c>
      <c r="C213" t="s">
        <v>621</v>
      </c>
      <c r="D213" t="s">
        <v>622</v>
      </c>
    </row>
    <row r="214" spans="1:4" x14ac:dyDescent="0.25">
      <c r="A214" t="s">
        <v>859</v>
      </c>
      <c r="B214" t="s">
        <v>1284</v>
      </c>
      <c r="C214" t="s">
        <v>690</v>
      </c>
      <c r="D214" t="s">
        <v>691</v>
      </c>
    </row>
    <row r="215" spans="1:4" x14ac:dyDescent="0.25">
      <c r="A215" t="s">
        <v>860</v>
      </c>
      <c r="B215" t="s">
        <v>1285</v>
      </c>
      <c r="C215" t="s">
        <v>667</v>
      </c>
      <c r="D215" t="s">
        <v>668</v>
      </c>
    </row>
    <row r="216" spans="1:4" x14ac:dyDescent="0.25">
      <c r="A216" t="s">
        <v>861</v>
      </c>
      <c r="B216" t="s">
        <v>1286</v>
      </c>
      <c r="C216" t="s">
        <v>633</v>
      </c>
      <c r="D216" t="s">
        <v>634</v>
      </c>
    </row>
    <row r="217" spans="1:4" x14ac:dyDescent="0.25">
      <c r="A217" t="s">
        <v>862</v>
      </c>
      <c r="B217" t="s">
        <v>1287</v>
      </c>
      <c r="C217" t="s">
        <v>686</v>
      </c>
      <c r="D217" t="s">
        <v>687</v>
      </c>
    </row>
    <row r="218" spans="1:4" x14ac:dyDescent="0.25">
      <c r="A218" t="s">
        <v>863</v>
      </c>
      <c r="B218" t="s">
        <v>1288</v>
      </c>
      <c r="C218" t="s">
        <v>633</v>
      </c>
      <c r="D218" t="s">
        <v>634</v>
      </c>
    </row>
    <row r="219" spans="1:4" x14ac:dyDescent="0.25">
      <c r="A219" t="s">
        <v>864</v>
      </c>
      <c r="B219" t="s">
        <v>1289</v>
      </c>
      <c r="C219" t="s">
        <v>686</v>
      </c>
      <c r="D219" t="s">
        <v>687</v>
      </c>
    </row>
    <row r="220" spans="1:4" x14ac:dyDescent="0.25">
      <c r="A220" t="s">
        <v>865</v>
      </c>
      <c r="B220" t="s">
        <v>1290</v>
      </c>
      <c r="C220" t="s">
        <v>636</v>
      </c>
      <c r="D220" t="s">
        <v>637</v>
      </c>
    </row>
    <row r="221" spans="1:4" x14ac:dyDescent="0.25">
      <c r="A221" t="s">
        <v>866</v>
      </c>
      <c r="B221" t="s">
        <v>1291</v>
      </c>
      <c r="C221" t="s">
        <v>690</v>
      </c>
      <c r="D221" t="s">
        <v>691</v>
      </c>
    </row>
    <row r="222" spans="1:4" x14ac:dyDescent="0.25">
      <c r="A222" t="s">
        <v>867</v>
      </c>
      <c r="B222" t="s">
        <v>1292</v>
      </c>
      <c r="C222" t="s">
        <v>633</v>
      </c>
      <c r="D222" t="s">
        <v>634</v>
      </c>
    </row>
    <row r="223" spans="1:4" x14ac:dyDescent="0.25">
      <c r="A223" t="s">
        <v>868</v>
      </c>
      <c r="B223" t="s">
        <v>1293</v>
      </c>
      <c r="C223" t="s">
        <v>624</v>
      </c>
      <c r="D223" t="s">
        <v>625</v>
      </c>
    </row>
    <row r="224" spans="1:4" x14ac:dyDescent="0.25">
      <c r="A224" t="s">
        <v>869</v>
      </c>
      <c r="B224" t="s">
        <v>1294</v>
      </c>
      <c r="C224" t="s">
        <v>645</v>
      </c>
      <c r="D224" t="s">
        <v>646</v>
      </c>
    </row>
    <row r="225" spans="1:4" x14ac:dyDescent="0.25">
      <c r="A225" t="s">
        <v>870</v>
      </c>
      <c r="B225" t="s">
        <v>1295</v>
      </c>
      <c r="C225" t="s">
        <v>633</v>
      </c>
      <c r="D225" t="s">
        <v>634</v>
      </c>
    </row>
    <row r="226" spans="1:4" x14ac:dyDescent="0.25">
      <c r="A226" t="s">
        <v>871</v>
      </c>
      <c r="B226" t="s">
        <v>1296</v>
      </c>
      <c r="C226" t="s">
        <v>621</v>
      </c>
      <c r="D226" t="s">
        <v>622</v>
      </c>
    </row>
    <row r="227" spans="1:4" x14ac:dyDescent="0.25">
      <c r="A227" t="s">
        <v>872</v>
      </c>
      <c r="B227" t="s">
        <v>1297</v>
      </c>
      <c r="C227" t="s">
        <v>686</v>
      </c>
      <c r="D227" t="s">
        <v>687</v>
      </c>
    </row>
    <row r="228" spans="1:4" x14ac:dyDescent="0.25">
      <c r="A228" t="s">
        <v>873</v>
      </c>
      <c r="B228" t="s">
        <v>1298</v>
      </c>
      <c r="C228" t="s">
        <v>649</v>
      </c>
      <c r="D228" t="s">
        <v>641</v>
      </c>
    </row>
    <row r="229" spans="1:4" x14ac:dyDescent="0.25">
      <c r="A229" t="s">
        <v>874</v>
      </c>
      <c r="B229" t="s">
        <v>1299</v>
      </c>
      <c r="C229" t="s">
        <v>627</v>
      </c>
      <c r="D229" t="s">
        <v>628</v>
      </c>
    </row>
    <row r="230" spans="1:4" x14ac:dyDescent="0.25">
      <c r="A230" t="s">
        <v>622</v>
      </c>
      <c r="B230" t="s">
        <v>1300</v>
      </c>
      <c r="C230" t="s">
        <v>627</v>
      </c>
      <c r="D230" t="s">
        <v>628</v>
      </c>
    </row>
    <row r="231" spans="1:4" x14ac:dyDescent="0.25">
      <c r="A231" t="s">
        <v>875</v>
      </c>
      <c r="B231" t="s">
        <v>1301</v>
      </c>
      <c r="C231" t="s">
        <v>621</v>
      </c>
      <c r="D231" t="s">
        <v>622</v>
      </c>
    </row>
    <row r="232" spans="1:4" x14ac:dyDescent="0.25">
      <c r="A232" t="s">
        <v>876</v>
      </c>
      <c r="B232" t="s">
        <v>1302</v>
      </c>
      <c r="C232" t="s">
        <v>624</v>
      </c>
      <c r="D232" t="s">
        <v>625</v>
      </c>
    </row>
    <row r="233" spans="1:4" x14ac:dyDescent="0.25">
      <c r="A233" t="s">
        <v>877</v>
      </c>
      <c r="B233" t="s">
        <v>1303</v>
      </c>
      <c r="C233" t="s">
        <v>639</v>
      </c>
      <c r="D233" t="s">
        <v>640</v>
      </c>
    </row>
    <row r="234" spans="1:4" x14ac:dyDescent="0.25">
      <c r="A234" t="s">
        <v>878</v>
      </c>
      <c r="B234" t="s">
        <v>1304</v>
      </c>
      <c r="C234" t="s">
        <v>713</v>
      </c>
      <c r="D234" t="s">
        <v>714</v>
      </c>
    </row>
    <row r="235" spans="1:4" x14ac:dyDescent="0.25">
      <c r="A235" t="s">
        <v>879</v>
      </c>
      <c r="B235" t="s">
        <v>1305</v>
      </c>
      <c r="C235" t="s">
        <v>621</v>
      </c>
      <c r="D235" t="s">
        <v>622</v>
      </c>
    </row>
    <row r="236" spans="1:4" x14ac:dyDescent="0.25">
      <c r="A236" t="s">
        <v>880</v>
      </c>
      <c r="B236" t="s">
        <v>1306</v>
      </c>
      <c r="C236" t="s">
        <v>630</v>
      </c>
      <c r="D236" t="s">
        <v>631</v>
      </c>
    </row>
    <row r="237" spans="1:4" x14ac:dyDescent="0.25">
      <c r="A237" t="s">
        <v>881</v>
      </c>
      <c r="B237" t="s">
        <v>1307</v>
      </c>
      <c r="C237" t="s">
        <v>642</v>
      </c>
      <c r="D237" t="s">
        <v>643</v>
      </c>
    </row>
    <row r="238" spans="1:4" x14ac:dyDescent="0.25">
      <c r="A238" t="s">
        <v>882</v>
      </c>
      <c r="B238" t="s">
        <v>1308</v>
      </c>
      <c r="C238" t="s">
        <v>642</v>
      </c>
      <c r="D238" t="s">
        <v>643</v>
      </c>
    </row>
    <row r="239" spans="1:4" x14ac:dyDescent="0.25">
      <c r="A239" t="s">
        <v>883</v>
      </c>
      <c r="B239" t="s">
        <v>1309</v>
      </c>
      <c r="C239" t="s">
        <v>624</v>
      </c>
      <c r="D239" t="s">
        <v>625</v>
      </c>
    </row>
    <row r="240" spans="1:4" x14ac:dyDescent="0.25">
      <c r="A240" t="s">
        <v>884</v>
      </c>
      <c r="B240" t="s">
        <v>1310</v>
      </c>
      <c r="C240" t="s">
        <v>653</v>
      </c>
      <c r="D240" t="s">
        <v>654</v>
      </c>
    </row>
    <row r="241" spans="1:4" x14ac:dyDescent="0.25">
      <c r="A241" t="s">
        <v>885</v>
      </c>
      <c r="B241" t="s">
        <v>1311</v>
      </c>
      <c r="C241" t="s">
        <v>713</v>
      </c>
      <c r="D241" t="s">
        <v>714</v>
      </c>
    </row>
    <row r="242" spans="1:4" x14ac:dyDescent="0.25">
      <c r="A242" t="s">
        <v>886</v>
      </c>
      <c r="B242" t="s">
        <v>1312</v>
      </c>
      <c r="C242" t="s">
        <v>642</v>
      </c>
      <c r="D242" t="s">
        <v>643</v>
      </c>
    </row>
    <row r="243" spans="1:4" x14ac:dyDescent="0.25">
      <c r="A243" t="s">
        <v>887</v>
      </c>
      <c r="B243" t="s">
        <v>1313</v>
      </c>
      <c r="C243" t="s">
        <v>636</v>
      </c>
      <c r="D243" t="s">
        <v>637</v>
      </c>
    </row>
    <row r="244" spans="1:4" x14ac:dyDescent="0.25">
      <c r="A244" t="s">
        <v>888</v>
      </c>
      <c r="B244" t="s">
        <v>1314</v>
      </c>
      <c r="C244" t="s">
        <v>633</v>
      </c>
      <c r="D244" t="s">
        <v>634</v>
      </c>
    </row>
    <row r="245" spans="1:4" x14ac:dyDescent="0.25">
      <c r="A245" t="s">
        <v>889</v>
      </c>
      <c r="B245" t="s">
        <v>1315</v>
      </c>
      <c r="C245" t="s">
        <v>633</v>
      </c>
      <c r="D245" t="s">
        <v>634</v>
      </c>
    </row>
    <row r="246" spans="1:4" x14ac:dyDescent="0.25">
      <c r="A246" t="s">
        <v>890</v>
      </c>
      <c r="B246" t="s">
        <v>1316</v>
      </c>
      <c r="C246" t="s">
        <v>667</v>
      </c>
      <c r="D246" t="s">
        <v>668</v>
      </c>
    </row>
    <row r="247" spans="1:4" x14ac:dyDescent="0.25">
      <c r="A247" t="s">
        <v>891</v>
      </c>
      <c r="B247" t="s">
        <v>1317</v>
      </c>
      <c r="C247" t="s">
        <v>649</v>
      </c>
      <c r="D247" t="s">
        <v>641</v>
      </c>
    </row>
    <row r="248" spans="1:4" x14ac:dyDescent="0.25">
      <c r="A248" t="s">
        <v>892</v>
      </c>
      <c r="B248" t="s">
        <v>1318</v>
      </c>
      <c r="C248" t="s">
        <v>639</v>
      </c>
      <c r="D248" t="s">
        <v>640</v>
      </c>
    </row>
    <row r="249" spans="1:4" x14ac:dyDescent="0.25">
      <c r="A249" t="s">
        <v>893</v>
      </c>
      <c r="B249" t="s">
        <v>205</v>
      </c>
      <c r="C249" t="s">
        <v>624</v>
      </c>
      <c r="D249" t="s">
        <v>625</v>
      </c>
    </row>
    <row r="250" spans="1:4" x14ac:dyDescent="0.25">
      <c r="A250" t="s">
        <v>894</v>
      </c>
      <c r="B250" t="s">
        <v>1319</v>
      </c>
      <c r="C250" t="s">
        <v>690</v>
      </c>
      <c r="D250" t="s">
        <v>691</v>
      </c>
    </row>
    <row r="251" spans="1:4" x14ac:dyDescent="0.25">
      <c r="A251" t="s">
        <v>895</v>
      </c>
      <c r="B251" t="s">
        <v>1320</v>
      </c>
      <c r="C251" t="s">
        <v>621</v>
      </c>
      <c r="D251" t="s">
        <v>622</v>
      </c>
    </row>
    <row r="252" spans="1:4" x14ac:dyDescent="0.25">
      <c r="A252" t="s">
        <v>896</v>
      </c>
      <c r="B252" t="s">
        <v>1321</v>
      </c>
      <c r="C252" t="s">
        <v>645</v>
      </c>
      <c r="D252" t="s">
        <v>646</v>
      </c>
    </row>
    <row r="253" spans="1:4" x14ac:dyDescent="0.25">
      <c r="A253" t="s">
        <v>897</v>
      </c>
      <c r="B253" t="s">
        <v>1322</v>
      </c>
      <c r="C253" t="s">
        <v>633</v>
      </c>
      <c r="D253" t="s">
        <v>634</v>
      </c>
    </row>
    <row r="254" spans="1:4" x14ac:dyDescent="0.25">
      <c r="A254" t="s">
        <v>898</v>
      </c>
      <c r="B254" t="s">
        <v>1323</v>
      </c>
      <c r="C254" t="s">
        <v>713</v>
      </c>
      <c r="D254" t="s">
        <v>714</v>
      </c>
    </row>
    <row r="255" spans="1:4" x14ac:dyDescent="0.25">
      <c r="A255" t="s">
        <v>899</v>
      </c>
      <c r="B255" t="s">
        <v>1324</v>
      </c>
      <c r="C255" t="s">
        <v>713</v>
      </c>
      <c r="D25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64F0-EB39-48DB-9258-5046C30DA5E5}">
  <dimension ref="A1:F716"/>
  <sheetViews>
    <sheetView workbookViewId="0">
      <selection activeCell="I615" sqref="I615"/>
    </sheetView>
  </sheetViews>
  <sheetFormatPr defaultColWidth="8.8554687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615</v>
      </c>
      <c r="E1" t="s">
        <v>616</v>
      </c>
      <c r="F1" t="s">
        <v>618</v>
      </c>
    </row>
    <row r="2" spans="1:6" x14ac:dyDescent="0.25">
      <c r="A2" t="s">
        <v>3</v>
      </c>
      <c r="B2" t="s">
        <v>4</v>
      </c>
      <c r="C2" t="s">
        <v>5</v>
      </c>
      <c r="D2">
        <v>2017</v>
      </c>
      <c r="E2">
        <v>5742.44</v>
      </c>
      <c r="F2" t="str">
        <f>VLOOKUP(B2,'Facility List'!$B$2:$E$156,3,0)</f>
        <v>Region 1</v>
      </c>
    </row>
    <row r="3" spans="1:6" x14ac:dyDescent="0.25">
      <c r="A3" t="s">
        <v>3</v>
      </c>
      <c r="B3" t="s">
        <v>4</v>
      </c>
      <c r="C3" t="s">
        <v>5</v>
      </c>
      <c r="D3">
        <v>2018</v>
      </c>
      <c r="E3">
        <v>6078.27</v>
      </c>
      <c r="F3" t="str">
        <f>VLOOKUP(B3,'Facility List'!$B$2:$E$156,3,0)</f>
        <v>Region 1</v>
      </c>
    </row>
    <row r="4" spans="1:6" x14ac:dyDescent="0.25">
      <c r="A4" t="s">
        <v>3</v>
      </c>
      <c r="B4" t="s">
        <v>4</v>
      </c>
      <c r="C4" t="s">
        <v>5</v>
      </c>
      <c r="D4">
        <v>2019</v>
      </c>
      <c r="E4">
        <v>5474.74</v>
      </c>
      <c r="F4" t="str">
        <f>VLOOKUP(B4,'Facility List'!$B$2:$E$156,3,0)</f>
        <v>Region 1</v>
      </c>
    </row>
    <row r="5" spans="1:6" x14ac:dyDescent="0.25">
      <c r="A5" t="s">
        <v>3</v>
      </c>
      <c r="B5" t="s">
        <v>4</v>
      </c>
      <c r="C5" t="s">
        <v>5</v>
      </c>
      <c r="D5">
        <v>2020</v>
      </c>
      <c r="E5">
        <v>6705.06</v>
      </c>
      <c r="F5" t="str">
        <f>VLOOKUP(B5,'Facility List'!$B$2:$E$156,3,0)</f>
        <v>Region 1</v>
      </c>
    </row>
    <row r="6" spans="1:6" x14ac:dyDescent="0.25">
      <c r="A6" t="s">
        <v>3</v>
      </c>
      <c r="B6" t="s">
        <v>4</v>
      </c>
      <c r="C6" t="s">
        <v>5</v>
      </c>
      <c r="D6">
        <v>2021</v>
      </c>
      <c r="E6">
        <v>6977.39</v>
      </c>
      <c r="F6" t="str">
        <f>VLOOKUP(B6,'Facility List'!$B$2:$E$156,3,0)</f>
        <v>Region 1</v>
      </c>
    </row>
    <row r="7" spans="1:6" x14ac:dyDescent="0.25">
      <c r="A7" t="s">
        <v>6</v>
      </c>
      <c r="B7" t="s">
        <v>7</v>
      </c>
      <c r="C7" t="s">
        <v>8</v>
      </c>
      <c r="D7">
        <v>2017</v>
      </c>
      <c r="E7">
        <v>7511.17</v>
      </c>
      <c r="F7" t="str">
        <f>VLOOKUP(B7,'Facility List'!$B$2:$E$156,3,0)</f>
        <v>Region 1</v>
      </c>
    </row>
    <row r="8" spans="1:6" x14ac:dyDescent="0.25">
      <c r="A8" t="s">
        <v>6</v>
      </c>
      <c r="B8" t="s">
        <v>7</v>
      </c>
      <c r="C8" t="s">
        <v>8</v>
      </c>
      <c r="D8">
        <v>2018</v>
      </c>
      <c r="E8">
        <v>6584.71</v>
      </c>
      <c r="F8" t="str">
        <f>VLOOKUP(B8,'Facility List'!$B$2:$E$156,3,0)</f>
        <v>Region 1</v>
      </c>
    </row>
    <row r="9" spans="1:6" x14ac:dyDescent="0.25">
      <c r="A9" t="s">
        <v>6</v>
      </c>
      <c r="B9" t="s">
        <v>7</v>
      </c>
      <c r="C9" t="s">
        <v>8</v>
      </c>
      <c r="D9">
        <v>2019</v>
      </c>
      <c r="E9">
        <v>7558</v>
      </c>
      <c r="F9" t="str">
        <f>VLOOKUP(B9,'Facility List'!$B$2:$E$156,3,0)</f>
        <v>Region 1</v>
      </c>
    </row>
    <row r="10" spans="1:6" x14ac:dyDescent="0.25">
      <c r="A10" t="s">
        <v>6</v>
      </c>
      <c r="B10" t="s">
        <v>7</v>
      </c>
      <c r="C10" t="s">
        <v>8</v>
      </c>
      <c r="D10">
        <v>2020</v>
      </c>
      <c r="E10">
        <v>7353.5</v>
      </c>
      <c r="F10" t="str">
        <f>VLOOKUP(B10,'Facility List'!$B$2:$E$156,3,0)</f>
        <v>Region 1</v>
      </c>
    </row>
    <row r="11" spans="1:6" x14ac:dyDescent="0.25">
      <c r="A11" t="s">
        <v>6</v>
      </c>
      <c r="B11" t="s">
        <v>7</v>
      </c>
      <c r="C11" t="s">
        <v>8</v>
      </c>
      <c r="D11">
        <v>2021</v>
      </c>
      <c r="E11">
        <v>7329.09</v>
      </c>
      <c r="F11" t="str">
        <f>VLOOKUP(B11,'Facility List'!$B$2:$E$156,3,0)</f>
        <v>Region 1</v>
      </c>
    </row>
    <row r="12" spans="1:6" x14ac:dyDescent="0.25">
      <c r="A12" t="s">
        <v>9</v>
      </c>
      <c r="B12" t="s">
        <v>10</v>
      </c>
      <c r="C12" t="s">
        <v>11</v>
      </c>
      <c r="D12">
        <v>2017</v>
      </c>
      <c r="E12">
        <v>2555</v>
      </c>
      <c r="F12" t="str">
        <f>VLOOKUP(B12,'Facility List'!$B$2:$E$156,3,0)</f>
        <v>Region 1</v>
      </c>
    </row>
    <row r="13" spans="1:6" x14ac:dyDescent="0.25">
      <c r="A13" t="s">
        <v>9</v>
      </c>
      <c r="B13" t="s">
        <v>10</v>
      </c>
      <c r="C13" t="s">
        <v>11</v>
      </c>
      <c r="D13">
        <v>2018</v>
      </c>
      <c r="E13">
        <v>2370</v>
      </c>
      <c r="F13" t="str">
        <f>VLOOKUP(B13,'Facility List'!$B$2:$E$156,3,0)</f>
        <v>Region 1</v>
      </c>
    </row>
    <row r="14" spans="1:6" x14ac:dyDescent="0.25">
      <c r="A14" t="s">
        <v>9</v>
      </c>
      <c r="B14" t="s">
        <v>10</v>
      </c>
      <c r="C14" t="s">
        <v>11</v>
      </c>
      <c r="D14">
        <v>2019</v>
      </c>
      <c r="E14">
        <v>2350</v>
      </c>
      <c r="F14" t="str">
        <f>VLOOKUP(B14,'Facility List'!$B$2:$E$156,3,0)</f>
        <v>Region 1</v>
      </c>
    </row>
    <row r="15" spans="1:6" x14ac:dyDescent="0.25">
      <c r="A15" t="s">
        <v>9</v>
      </c>
      <c r="B15" t="s">
        <v>10</v>
      </c>
      <c r="C15" t="s">
        <v>11</v>
      </c>
      <c r="D15">
        <v>2020</v>
      </c>
      <c r="E15">
        <v>2350</v>
      </c>
      <c r="F15" t="str">
        <f>VLOOKUP(B15,'Facility List'!$B$2:$E$156,3,0)</f>
        <v>Region 1</v>
      </c>
    </row>
    <row r="16" spans="1:6" x14ac:dyDescent="0.25">
      <c r="A16" t="s">
        <v>9</v>
      </c>
      <c r="B16" t="s">
        <v>10</v>
      </c>
      <c r="C16" t="s">
        <v>11</v>
      </c>
      <c r="D16">
        <v>2021</v>
      </c>
      <c r="E16">
        <v>2296.5</v>
      </c>
      <c r="F16" t="str">
        <f>VLOOKUP(B16,'Facility List'!$B$2:$E$156,3,0)</f>
        <v>Region 1</v>
      </c>
    </row>
    <row r="17" spans="1:6" x14ac:dyDescent="0.25">
      <c r="A17" t="s">
        <v>12</v>
      </c>
      <c r="B17" t="s">
        <v>13</v>
      </c>
      <c r="C17" t="s">
        <v>14</v>
      </c>
      <c r="D17">
        <v>2017</v>
      </c>
      <c r="E17">
        <v>68399</v>
      </c>
      <c r="F17" t="str">
        <f>VLOOKUP(B17,'Facility List'!$B$2:$E$156,3,0)</f>
        <v>Region 1</v>
      </c>
    </row>
    <row r="18" spans="1:6" x14ac:dyDescent="0.25">
      <c r="A18" t="s">
        <v>12</v>
      </c>
      <c r="B18" t="s">
        <v>13</v>
      </c>
      <c r="C18" t="s">
        <v>14</v>
      </c>
      <c r="D18">
        <v>2018</v>
      </c>
      <c r="E18">
        <v>60692</v>
      </c>
      <c r="F18" t="str">
        <f>VLOOKUP(B18,'Facility List'!$B$2:$E$156,3,0)</f>
        <v>Region 1</v>
      </c>
    </row>
    <row r="19" spans="1:6" x14ac:dyDescent="0.25">
      <c r="A19" t="s">
        <v>12</v>
      </c>
      <c r="B19" t="s">
        <v>13</v>
      </c>
      <c r="C19" t="s">
        <v>14</v>
      </c>
      <c r="D19">
        <v>2019</v>
      </c>
      <c r="E19">
        <v>64630</v>
      </c>
      <c r="F19" t="str">
        <f>VLOOKUP(B19,'Facility List'!$B$2:$E$156,3,0)</f>
        <v>Region 1</v>
      </c>
    </row>
    <row r="20" spans="1:6" x14ac:dyDescent="0.25">
      <c r="A20" t="s">
        <v>12</v>
      </c>
      <c r="B20" t="s">
        <v>13</v>
      </c>
      <c r="C20" t="s">
        <v>14</v>
      </c>
      <c r="D20">
        <v>2020</v>
      </c>
      <c r="E20">
        <v>53792</v>
      </c>
      <c r="F20" t="str">
        <f>VLOOKUP(B20,'Facility List'!$B$2:$E$156,3,0)</f>
        <v>Region 1</v>
      </c>
    </row>
    <row r="21" spans="1:6" x14ac:dyDescent="0.25">
      <c r="A21" t="s">
        <v>12</v>
      </c>
      <c r="B21" t="s">
        <v>13</v>
      </c>
      <c r="C21" t="s">
        <v>14</v>
      </c>
      <c r="D21">
        <v>2021</v>
      </c>
      <c r="E21">
        <v>63771</v>
      </c>
      <c r="F21" t="str">
        <f>VLOOKUP(B21,'Facility List'!$B$2:$E$156,3,0)</f>
        <v>Region 1</v>
      </c>
    </row>
    <row r="22" spans="1:6" x14ac:dyDescent="0.25">
      <c r="A22" t="s">
        <v>15</v>
      </c>
      <c r="B22" t="s">
        <v>16</v>
      </c>
      <c r="C22" t="s">
        <v>17</v>
      </c>
      <c r="D22">
        <v>2017</v>
      </c>
      <c r="E22">
        <v>1583.85</v>
      </c>
      <c r="F22" t="str">
        <f>VLOOKUP(B22,'Facility List'!$B$2:$E$156,3,0)</f>
        <v>Region 1</v>
      </c>
    </row>
    <row r="23" spans="1:6" x14ac:dyDescent="0.25">
      <c r="A23" t="s">
        <v>15</v>
      </c>
      <c r="B23" t="s">
        <v>16</v>
      </c>
      <c r="C23" t="s">
        <v>17</v>
      </c>
      <c r="D23">
        <v>2018</v>
      </c>
      <c r="E23">
        <v>1448.7</v>
      </c>
      <c r="F23" t="str">
        <f>VLOOKUP(B23,'Facility List'!$B$2:$E$156,3,0)</f>
        <v>Region 1</v>
      </c>
    </row>
    <row r="24" spans="1:6" x14ac:dyDescent="0.25">
      <c r="A24" t="s">
        <v>15</v>
      </c>
      <c r="B24" t="s">
        <v>16</v>
      </c>
      <c r="C24" t="s">
        <v>17</v>
      </c>
      <c r="D24">
        <v>2019</v>
      </c>
      <c r="E24">
        <v>1585.88</v>
      </c>
      <c r="F24" t="str">
        <f>VLOOKUP(B24,'Facility List'!$B$2:$E$156,3,0)</f>
        <v>Region 1</v>
      </c>
    </row>
    <row r="25" spans="1:6" x14ac:dyDescent="0.25">
      <c r="A25" t="s">
        <v>15</v>
      </c>
      <c r="B25" t="s">
        <v>16</v>
      </c>
      <c r="C25" t="s">
        <v>17</v>
      </c>
      <c r="D25">
        <v>2020</v>
      </c>
      <c r="E25">
        <v>1744.09</v>
      </c>
      <c r="F25" t="str">
        <f>VLOOKUP(B25,'Facility List'!$B$2:$E$156,3,0)</f>
        <v>Region 1</v>
      </c>
    </row>
    <row r="26" spans="1:6" x14ac:dyDescent="0.25">
      <c r="A26" t="s">
        <v>15</v>
      </c>
      <c r="B26" t="s">
        <v>16</v>
      </c>
      <c r="C26" t="s">
        <v>17</v>
      </c>
      <c r="D26">
        <v>2021</v>
      </c>
      <c r="E26">
        <v>1763.06</v>
      </c>
      <c r="F26" t="str">
        <f>VLOOKUP(B26,'Facility List'!$B$2:$E$156,3,0)</f>
        <v>Region 1</v>
      </c>
    </row>
    <row r="27" spans="1:6" x14ac:dyDescent="0.25">
      <c r="A27" t="s">
        <v>18</v>
      </c>
      <c r="B27" t="s">
        <v>19</v>
      </c>
      <c r="C27" t="s">
        <v>20</v>
      </c>
      <c r="D27">
        <v>2017</v>
      </c>
      <c r="E27">
        <v>50850.55</v>
      </c>
      <c r="F27" t="str">
        <f>VLOOKUP(B27,'Facility List'!$B$2:$E$156,3,0)</f>
        <v>Region 1</v>
      </c>
    </row>
    <row r="28" spans="1:6" x14ac:dyDescent="0.25">
      <c r="A28" t="s">
        <v>18</v>
      </c>
      <c r="B28" t="s">
        <v>19</v>
      </c>
      <c r="C28" t="s">
        <v>20</v>
      </c>
      <c r="D28">
        <v>2018</v>
      </c>
      <c r="E28">
        <v>49777.2</v>
      </c>
      <c r="F28" t="str">
        <f>VLOOKUP(B28,'Facility List'!$B$2:$E$156,3,0)</f>
        <v>Region 1</v>
      </c>
    </row>
    <row r="29" spans="1:6" x14ac:dyDescent="0.25">
      <c r="A29" t="s">
        <v>18</v>
      </c>
      <c r="B29" t="s">
        <v>19</v>
      </c>
      <c r="C29" t="s">
        <v>20</v>
      </c>
      <c r="D29">
        <v>2019</v>
      </c>
      <c r="E29">
        <v>46378.559999999998</v>
      </c>
      <c r="F29" t="str">
        <f>VLOOKUP(B29,'Facility List'!$B$2:$E$156,3,0)</f>
        <v>Region 1</v>
      </c>
    </row>
    <row r="30" spans="1:6" x14ac:dyDescent="0.25">
      <c r="A30" t="s">
        <v>18</v>
      </c>
      <c r="B30" t="s">
        <v>19</v>
      </c>
      <c r="C30" t="s">
        <v>20</v>
      </c>
      <c r="D30">
        <v>2020</v>
      </c>
      <c r="E30">
        <v>44531.33</v>
      </c>
      <c r="F30" t="str">
        <f>VLOOKUP(B30,'Facility List'!$B$2:$E$156,3,0)</f>
        <v>Region 1</v>
      </c>
    </row>
    <row r="31" spans="1:6" x14ac:dyDescent="0.25">
      <c r="A31" t="s">
        <v>18</v>
      </c>
      <c r="B31" t="s">
        <v>19</v>
      </c>
      <c r="C31" t="s">
        <v>20</v>
      </c>
      <c r="D31">
        <v>2021</v>
      </c>
      <c r="E31">
        <v>45853.01</v>
      </c>
      <c r="F31" t="str">
        <f>VLOOKUP(B31,'Facility List'!$B$2:$E$156,3,0)</f>
        <v>Region 1</v>
      </c>
    </row>
    <row r="32" spans="1:6" x14ac:dyDescent="0.25">
      <c r="A32" t="s">
        <v>21</v>
      </c>
      <c r="B32" t="s">
        <v>22</v>
      </c>
      <c r="C32" t="s">
        <v>23</v>
      </c>
      <c r="D32">
        <v>2017</v>
      </c>
      <c r="E32">
        <v>2480</v>
      </c>
      <c r="F32" t="str">
        <f>VLOOKUP(B32,'Facility List'!$B$2:$E$156,3,0)</f>
        <v>Region 1</v>
      </c>
    </row>
    <row r="33" spans="1:6" x14ac:dyDescent="0.25">
      <c r="A33" t="s">
        <v>21</v>
      </c>
      <c r="B33" t="s">
        <v>22</v>
      </c>
      <c r="C33" t="s">
        <v>23</v>
      </c>
      <c r="D33">
        <v>2018</v>
      </c>
      <c r="E33">
        <v>2142</v>
      </c>
      <c r="F33" t="str">
        <f>VLOOKUP(B33,'Facility List'!$B$2:$E$156,3,0)</f>
        <v>Region 1</v>
      </c>
    </row>
    <row r="34" spans="1:6" x14ac:dyDescent="0.25">
      <c r="A34" t="s">
        <v>21</v>
      </c>
      <c r="B34" t="s">
        <v>22</v>
      </c>
      <c r="C34" t="s">
        <v>23</v>
      </c>
      <c r="D34">
        <v>2019</v>
      </c>
      <c r="E34">
        <v>2309</v>
      </c>
      <c r="F34" t="str">
        <f>VLOOKUP(B34,'Facility List'!$B$2:$E$156,3,0)</f>
        <v>Region 1</v>
      </c>
    </row>
    <row r="35" spans="1:6" x14ac:dyDescent="0.25">
      <c r="A35" t="s">
        <v>21</v>
      </c>
      <c r="B35" t="s">
        <v>22</v>
      </c>
      <c r="C35" t="s">
        <v>23</v>
      </c>
      <c r="D35">
        <v>2020</v>
      </c>
      <c r="E35">
        <v>6265</v>
      </c>
      <c r="F35" t="str">
        <f>VLOOKUP(B35,'Facility List'!$B$2:$E$156,3,0)</f>
        <v>Region 1</v>
      </c>
    </row>
    <row r="36" spans="1:6" x14ac:dyDescent="0.25">
      <c r="A36" t="s">
        <v>21</v>
      </c>
      <c r="B36" t="s">
        <v>22</v>
      </c>
      <c r="C36" t="s">
        <v>23</v>
      </c>
      <c r="D36">
        <v>2021</v>
      </c>
      <c r="E36">
        <v>6470</v>
      </c>
      <c r="F36" t="str">
        <f>VLOOKUP(B36,'Facility List'!$B$2:$E$156,3,0)</f>
        <v>Region 1</v>
      </c>
    </row>
    <row r="37" spans="1:6" x14ac:dyDescent="0.25">
      <c r="A37" t="s">
        <v>24</v>
      </c>
      <c r="B37" t="s">
        <v>25</v>
      </c>
      <c r="C37" t="s">
        <v>26</v>
      </c>
      <c r="D37">
        <v>2017</v>
      </c>
      <c r="E37">
        <v>7088</v>
      </c>
      <c r="F37" t="str">
        <f>VLOOKUP(B37,'Facility List'!$B$2:$E$156,3,0)</f>
        <v>Region 1</v>
      </c>
    </row>
    <row r="38" spans="1:6" x14ac:dyDescent="0.25">
      <c r="A38" t="s">
        <v>24</v>
      </c>
      <c r="B38" t="s">
        <v>25</v>
      </c>
      <c r="C38" t="s">
        <v>26</v>
      </c>
      <c r="D38">
        <v>2018</v>
      </c>
      <c r="E38">
        <v>7024</v>
      </c>
      <c r="F38" t="str">
        <f>VLOOKUP(B38,'Facility List'!$B$2:$E$156,3,0)</f>
        <v>Region 1</v>
      </c>
    </row>
    <row r="39" spans="1:6" x14ac:dyDescent="0.25">
      <c r="A39" t="s">
        <v>24</v>
      </c>
      <c r="B39" t="s">
        <v>25</v>
      </c>
      <c r="C39" t="s">
        <v>26</v>
      </c>
      <c r="D39">
        <v>2019</v>
      </c>
      <c r="E39">
        <v>6146.67</v>
      </c>
      <c r="F39" t="str">
        <f>VLOOKUP(B39,'Facility List'!$B$2:$E$156,3,0)</f>
        <v>Region 1</v>
      </c>
    </row>
    <row r="40" spans="1:6" x14ac:dyDescent="0.25">
      <c r="A40" t="s">
        <v>24</v>
      </c>
      <c r="B40" t="s">
        <v>25</v>
      </c>
      <c r="C40" t="s">
        <v>26</v>
      </c>
      <c r="D40">
        <v>2020</v>
      </c>
      <c r="E40">
        <v>7482</v>
      </c>
      <c r="F40" t="str">
        <f>VLOOKUP(B40,'Facility List'!$B$2:$E$156,3,0)</f>
        <v>Region 1</v>
      </c>
    </row>
    <row r="41" spans="1:6" x14ac:dyDescent="0.25">
      <c r="A41" t="s">
        <v>24</v>
      </c>
      <c r="B41" t="s">
        <v>25</v>
      </c>
      <c r="C41" t="s">
        <v>26</v>
      </c>
      <c r="D41">
        <v>2021</v>
      </c>
      <c r="E41">
        <v>6106</v>
      </c>
      <c r="F41" t="str">
        <f>VLOOKUP(B41,'Facility List'!$B$2:$E$156,3,0)</f>
        <v>Region 1</v>
      </c>
    </row>
    <row r="42" spans="1:6" x14ac:dyDescent="0.25">
      <c r="A42" t="s">
        <v>27</v>
      </c>
      <c r="B42" t="s">
        <v>28</v>
      </c>
      <c r="C42" t="s">
        <v>29</v>
      </c>
      <c r="D42">
        <v>2017</v>
      </c>
      <c r="E42">
        <v>13138.06</v>
      </c>
      <c r="F42" t="str">
        <f>VLOOKUP(B42,'Facility List'!$B$2:$E$156,3,0)</f>
        <v>Region 1</v>
      </c>
    </row>
    <row r="43" spans="1:6" x14ac:dyDescent="0.25">
      <c r="A43" t="s">
        <v>27</v>
      </c>
      <c r="B43" t="s">
        <v>28</v>
      </c>
      <c r="C43" t="s">
        <v>29</v>
      </c>
      <c r="D43">
        <v>2018</v>
      </c>
      <c r="E43">
        <v>12093.55</v>
      </c>
      <c r="F43" t="str">
        <f>VLOOKUP(B43,'Facility List'!$B$2:$E$156,3,0)</f>
        <v>Region 1</v>
      </c>
    </row>
    <row r="44" spans="1:6" x14ac:dyDescent="0.25">
      <c r="A44" t="s">
        <v>27</v>
      </c>
      <c r="B44" t="s">
        <v>28</v>
      </c>
      <c r="C44" t="s">
        <v>29</v>
      </c>
      <c r="D44">
        <v>2019</v>
      </c>
      <c r="E44">
        <v>13286.86</v>
      </c>
      <c r="F44" t="str">
        <f>VLOOKUP(B44,'Facility List'!$B$2:$E$156,3,0)</f>
        <v>Region 1</v>
      </c>
    </row>
    <row r="45" spans="1:6" x14ac:dyDescent="0.25">
      <c r="A45" t="s">
        <v>27</v>
      </c>
      <c r="B45" t="s">
        <v>28</v>
      </c>
      <c r="C45" t="s">
        <v>29</v>
      </c>
      <c r="D45">
        <v>2020</v>
      </c>
      <c r="E45">
        <v>13477.48</v>
      </c>
      <c r="F45" t="str">
        <f>VLOOKUP(B45,'Facility List'!$B$2:$E$156,3,0)</f>
        <v>Region 1</v>
      </c>
    </row>
    <row r="46" spans="1:6" x14ac:dyDescent="0.25">
      <c r="A46" t="s">
        <v>27</v>
      </c>
      <c r="B46" t="s">
        <v>28</v>
      </c>
      <c r="C46" t="s">
        <v>29</v>
      </c>
      <c r="D46">
        <v>2021</v>
      </c>
      <c r="E46">
        <v>13903.48</v>
      </c>
      <c r="F46" t="str">
        <f>VLOOKUP(B46,'Facility List'!$B$2:$E$156,3,0)</f>
        <v>Region 1</v>
      </c>
    </row>
    <row r="47" spans="1:6" x14ac:dyDescent="0.25">
      <c r="A47" t="s">
        <v>30</v>
      </c>
      <c r="B47" t="s">
        <v>31</v>
      </c>
      <c r="C47" t="s">
        <v>32</v>
      </c>
      <c r="D47">
        <v>2017</v>
      </c>
      <c r="E47">
        <v>1996.51</v>
      </c>
      <c r="F47" t="str">
        <f>VLOOKUP(B47,'Facility List'!$B$2:$E$156,3,0)</f>
        <v>Region 1</v>
      </c>
    </row>
    <row r="48" spans="1:6" x14ac:dyDescent="0.25">
      <c r="A48" t="s">
        <v>30</v>
      </c>
      <c r="B48" t="s">
        <v>31</v>
      </c>
      <c r="C48" t="s">
        <v>32</v>
      </c>
      <c r="D48">
        <v>2018</v>
      </c>
      <c r="E48">
        <v>1786.91</v>
      </c>
      <c r="F48" t="str">
        <f>VLOOKUP(B48,'Facility List'!$B$2:$E$156,3,0)</f>
        <v>Region 1</v>
      </c>
    </row>
    <row r="49" spans="1:6" x14ac:dyDescent="0.25">
      <c r="A49" t="s">
        <v>30</v>
      </c>
      <c r="B49" t="s">
        <v>31</v>
      </c>
      <c r="C49" t="s">
        <v>32</v>
      </c>
      <c r="D49">
        <v>2019</v>
      </c>
      <c r="E49">
        <v>1913.64</v>
      </c>
      <c r="F49" t="str">
        <f>VLOOKUP(B49,'Facility List'!$B$2:$E$156,3,0)</f>
        <v>Region 1</v>
      </c>
    </row>
    <row r="50" spans="1:6" x14ac:dyDescent="0.25">
      <c r="A50" t="s">
        <v>30</v>
      </c>
      <c r="B50" t="s">
        <v>31</v>
      </c>
      <c r="C50" t="s">
        <v>32</v>
      </c>
      <c r="D50">
        <v>2020</v>
      </c>
      <c r="E50">
        <v>1888.71</v>
      </c>
      <c r="F50" t="str">
        <f>VLOOKUP(B50,'Facility List'!$B$2:$E$156,3,0)</f>
        <v>Region 1</v>
      </c>
    </row>
    <row r="51" spans="1:6" x14ac:dyDescent="0.25">
      <c r="A51" t="s">
        <v>30</v>
      </c>
      <c r="B51" t="s">
        <v>31</v>
      </c>
      <c r="C51" t="s">
        <v>32</v>
      </c>
      <c r="D51">
        <v>2021</v>
      </c>
      <c r="E51">
        <v>1739.39</v>
      </c>
      <c r="F51" t="str">
        <f>VLOOKUP(B51,'Facility List'!$B$2:$E$156,3,0)</f>
        <v>Region 1</v>
      </c>
    </row>
    <row r="52" spans="1:6" x14ac:dyDescent="0.25">
      <c r="A52" t="s">
        <v>33</v>
      </c>
      <c r="B52" t="s">
        <v>34</v>
      </c>
      <c r="C52" t="s">
        <v>35</v>
      </c>
      <c r="D52">
        <v>2017</v>
      </c>
      <c r="E52">
        <v>4574.3</v>
      </c>
      <c r="F52" t="str">
        <f>VLOOKUP(B52,'Facility List'!$B$2:$E$156,3,0)</f>
        <v>Region 1</v>
      </c>
    </row>
    <row r="53" spans="1:6" x14ac:dyDescent="0.25">
      <c r="A53" t="s">
        <v>33</v>
      </c>
      <c r="B53" t="s">
        <v>34</v>
      </c>
      <c r="C53" t="s">
        <v>35</v>
      </c>
      <c r="D53">
        <v>2018</v>
      </c>
      <c r="E53">
        <v>4679.13</v>
      </c>
      <c r="F53" t="str">
        <f>VLOOKUP(B53,'Facility List'!$B$2:$E$156,3,0)</f>
        <v>Region 1</v>
      </c>
    </row>
    <row r="54" spans="1:6" x14ac:dyDescent="0.25">
      <c r="A54" t="s">
        <v>33</v>
      </c>
      <c r="B54" t="s">
        <v>34</v>
      </c>
      <c r="C54" t="s">
        <v>35</v>
      </c>
      <c r="D54">
        <v>2019</v>
      </c>
      <c r="E54">
        <v>4429.09</v>
      </c>
      <c r="F54" t="str">
        <f>VLOOKUP(B54,'Facility List'!$B$2:$E$156,3,0)</f>
        <v>Region 1</v>
      </c>
    </row>
    <row r="55" spans="1:6" x14ac:dyDescent="0.25">
      <c r="A55" t="s">
        <v>33</v>
      </c>
      <c r="B55" t="s">
        <v>34</v>
      </c>
      <c r="C55" t="s">
        <v>35</v>
      </c>
      <c r="D55">
        <v>2020</v>
      </c>
      <c r="E55">
        <v>4716.3599999999997</v>
      </c>
      <c r="F55" t="str">
        <f>VLOOKUP(B55,'Facility List'!$B$2:$E$156,3,0)</f>
        <v>Region 1</v>
      </c>
    </row>
    <row r="56" spans="1:6" x14ac:dyDescent="0.25">
      <c r="A56" t="s">
        <v>33</v>
      </c>
      <c r="B56" t="s">
        <v>34</v>
      </c>
      <c r="C56" t="s">
        <v>35</v>
      </c>
      <c r="D56">
        <v>2021</v>
      </c>
      <c r="E56">
        <v>3760.49</v>
      </c>
      <c r="F56" t="str">
        <f>VLOOKUP(B56,'Facility List'!$B$2:$E$156,3,0)</f>
        <v>Region 1</v>
      </c>
    </row>
    <row r="57" spans="1:6" x14ac:dyDescent="0.25">
      <c r="A57" t="s">
        <v>36</v>
      </c>
      <c r="B57" t="s">
        <v>37</v>
      </c>
      <c r="C57" t="s">
        <v>38</v>
      </c>
      <c r="D57">
        <v>2017</v>
      </c>
      <c r="E57">
        <v>4786.97</v>
      </c>
      <c r="F57" t="str">
        <f>VLOOKUP(B57,'Facility List'!$B$2:$E$156,3,0)</f>
        <v>Region 1</v>
      </c>
    </row>
    <row r="58" spans="1:6" x14ac:dyDescent="0.25">
      <c r="A58" t="s">
        <v>36</v>
      </c>
      <c r="B58" t="s">
        <v>37</v>
      </c>
      <c r="C58" t="s">
        <v>38</v>
      </c>
      <c r="D58">
        <v>2018</v>
      </c>
      <c r="E58">
        <v>4536.07</v>
      </c>
      <c r="F58" t="str">
        <f>VLOOKUP(B58,'Facility List'!$B$2:$E$156,3,0)</f>
        <v>Region 1</v>
      </c>
    </row>
    <row r="59" spans="1:6" x14ac:dyDescent="0.25">
      <c r="A59" t="s">
        <v>36</v>
      </c>
      <c r="B59" t="s">
        <v>37</v>
      </c>
      <c r="C59" t="s">
        <v>38</v>
      </c>
      <c r="D59">
        <v>2019</v>
      </c>
      <c r="E59">
        <v>4429.6400000000003</v>
      </c>
      <c r="F59" t="str">
        <f>VLOOKUP(B59,'Facility List'!$B$2:$E$156,3,0)</f>
        <v>Region 1</v>
      </c>
    </row>
    <row r="60" spans="1:6" x14ac:dyDescent="0.25">
      <c r="A60" t="s">
        <v>36</v>
      </c>
      <c r="B60" t="s">
        <v>37</v>
      </c>
      <c r="C60" t="s">
        <v>38</v>
      </c>
      <c r="D60">
        <v>2020</v>
      </c>
      <c r="E60">
        <v>4774.47</v>
      </c>
      <c r="F60" t="str">
        <f>VLOOKUP(B60,'Facility List'!$B$2:$E$156,3,0)</f>
        <v>Region 1</v>
      </c>
    </row>
    <row r="61" spans="1:6" x14ac:dyDescent="0.25">
      <c r="A61" t="s">
        <v>36</v>
      </c>
      <c r="B61" t="s">
        <v>37</v>
      </c>
      <c r="C61" t="s">
        <v>38</v>
      </c>
      <c r="D61">
        <v>2021</v>
      </c>
      <c r="E61">
        <v>4634.4799999999996</v>
      </c>
      <c r="F61" t="str">
        <f>VLOOKUP(B61,'Facility List'!$B$2:$E$156,3,0)</f>
        <v>Region 1</v>
      </c>
    </row>
    <row r="62" spans="1:6" x14ac:dyDescent="0.25">
      <c r="A62" t="s">
        <v>39</v>
      </c>
      <c r="B62" t="s">
        <v>40</v>
      </c>
      <c r="C62" t="s">
        <v>41</v>
      </c>
      <c r="D62">
        <v>2017</v>
      </c>
      <c r="E62">
        <v>799</v>
      </c>
      <c r="F62" t="str">
        <f>VLOOKUP(B62,'Facility List'!$B$2:$E$156,3,0)</f>
        <v>Region 1</v>
      </c>
    </row>
    <row r="63" spans="1:6" x14ac:dyDescent="0.25">
      <c r="A63" t="s">
        <v>39</v>
      </c>
      <c r="B63" t="s">
        <v>40</v>
      </c>
      <c r="C63" t="s">
        <v>41</v>
      </c>
      <c r="D63">
        <v>2018</v>
      </c>
      <c r="E63">
        <v>820</v>
      </c>
      <c r="F63" t="str">
        <f>VLOOKUP(B63,'Facility List'!$B$2:$E$156,3,0)</f>
        <v>Region 1</v>
      </c>
    </row>
    <row r="64" spans="1:6" x14ac:dyDescent="0.25">
      <c r="A64" t="s">
        <v>39</v>
      </c>
      <c r="B64" t="s">
        <v>40</v>
      </c>
      <c r="C64" t="s">
        <v>41</v>
      </c>
      <c r="D64">
        <v>2019</v>
      </c>
      <c r="E64">
        <v>800</v>
      </c>
      <c r="F64" t="str">
        <f>VLOOKUP(B64,'Facility List'!$B$2:$E$156,3,0)</f>
        <v>Region 1</v>
      </c>
    </row>
    <row r="65" spans="1:6" x14ac:dyDescent="0.25">
      <c r="A65" t="s">
        <v>39</v>
      </c>
      <c r="B65" t="s">
        <v>40</v>
      </c>
      <c r="C65" t="s">
        <v>41</v>
      </c>
      <c r="D65">
        <v>2020</v>
      </c>
      <c r="E65">
        <v>805</v>
      </c>
      <c r="F65" t="str">
        <f>VLOOKUP(B65,'Facility List'!$B$2:$E$156,3,0)</f>
        <v>Region 1</v>
      </c>
    </row>
    <row r="66" spans="1:6" x14ac:dyDescent="0.25">
      <c r="A66" t="s">
        <v>39</v>
      </c>
      <c r="B66" t="s">
        <v>40</v>
      </c>
      <c r="C66" t="s">
        <v>41</v>
      </c>
      <c r="D66">
        <v>2021</v>
      </c>
      <c r="E66">
        <v>810</v>
      </c>
      <c r="F66" t="str">
        <f>VLOOKUP(B66,'Facility List'!$B$2:$E$156,3,0)</f>
        <v>Region 1</v>
      </c>
    </row>
    <row r="67" spans="1:6" x14ac:dyDescent="0.25">
      <c r="A67" t="s">
        <v>42</v>
      </c>
      <c r="B67" t="s">
        <v>43</v>
      </c>
      <c r="C67" t="s">
        <v>44</v>
      </c>
      <c r="D67">
        <v>2017</v>
      </c>
      <c r="E67">
        <v>238360</v>
      </c>
      <c r="F67" t="str">
        <f>VLOOKUP(B67,'Facility List'!$B$2:$E$156,3,0)</f>
        <v>Region 1</v>
      </c>
    </row>
    <row r="68" spans="1:6" x14ac:dyDescent="0.25">
      <c r="A68" t="s">
        <v>42</v>
      </c>
      <c r="B68" t="s">
        <v>43</v>
      </c>
      <c r="C68" t="s">
        <v>44</v>
      </c>
      <c r="D68">
        <v>2018</v>
      </c>
      <c r="E68">
        <v>253322.27</v>
      </c>
      <c r="F68" t="str">
        <f>VLOOKUP(B68,'Facility List'!$B$2:$E$156,3,0)</f>
        <v>Region 1</v>
      </c>
    </row>
    <row r="69" spans="1:6" x14ac:dyDescent="0.25">
      <c r="A69" t="s">
        <v>42</v>
      </c>
      <c r="B69" t="s">
        <v>43</v>
      </c>
      <c r="C69" t="s">
        <v>44</v>
      </c>
      <c r="D69">
        <v>2019</v>
      </c>
      <c r="E69">
        <v>186607.39</v>
      </c>
      <c r="F69" t="str">
        <f>VLOOKUP(B69,'Facility List'!$B$2:$E$156,3,0)</f>
        <v>Region 1</v>
      </c>
    </row>
    <row r="70" spans="1:6" x14ac:dyDescent="0.25">
      <c r="A70" t="s">
        <v>42</v>
      </c>
      <c r="B70" t="s">
        <v>43</v>
      </c>
      <c r="C70" t="s">
        <v>44</v>
      </c>
      <c r="D70">
        <v>2020</v>
      </c>
      <c r="E70">
        <v>194591.85</v>
      </c>
      <c r="F70" t="str">
        <f>VLOOKUP(B70,'Facility List'!$B$2:$E$156,3,0)</f>
        <v>Region 1</v>
      </c>
    </row>
    <row r="71" spans="1:6" x14ac:dyDescent="0.25">
      <c r="A71" t="s">
        <v>42</v>
      </c>
      <c r="B71" t="s">
        <v>43</v>
      </c>
      <c r="C71" t="s">
        <v>44</v>
      </c>
      <c r="D71">
        <v>2021</v>
      </c>
      <c r="E71">
        <v>190653.15</v>
      </c>
      <c r="F71" t="str">
        <f>VLOOKUP(B71,'Facility List'!$B$2:$E$156,3,0)</f>
        <v>Region 1</v>
      </c>
    </row>
    <row r="72" spans="1:6" x14ac:dyDescent="0.25">
      <c r="A72" t="s">
        <v>45</v>
      </c>
      <c r="B72" t="s">
        <v>46</v>
      </c>
      <c r="C72" t="s">
        <v>47</v>
      </c>
      <c r="D72">
        <v>2017</v>
      </c>
      <c r="E72">
        <v>6907.4</v>
      </c>
      <c r="F72" t="str">
        <f>VLOOKUP(B72,'Facility List'!$B$2:$E$156,3,0)</f>
        <v>Region 1</v>
      </c>
    </row>
    <row r="73" spans="1:6" x14ac:dyDescent="0.25">
      <c r="A73" t="s">
        <v>45</v>
      </c>
      <c r="B73" t="s">
        <v>46</v>
      </c>
      <c r="C73" t="s">
        <v>47</v>
      </c>
      <c r="D73">
        <v>2018</v>
      </c>
      <c r="E73">
        <v>6720</v>
      </c>
      <c r="F73" t="str">
        <f>VLOOKUP(B73,'Facility List'!$B$2:$E$156,3,0)</f>
        <v>Region 1</v>
      </c>
    </row>
    <row r="74" spans="1:6" x14ac:dyDescent="0.25">
      <c r="A74" t="s">
        <v>45</v>
      </c>
      <c r="B74" t="s">
        <v>46</v>
      </c>
      <c r="C74" t="s">
        <v>47</v>
      </c>
      <c r="D74">
        <v>2019</v>
      </c>
      <c r="E74">
        <v>6854</v>
      </c>
      <c r="F74" t="str">
        <f>VLOOKUP(B74,'Facility List'!$B$2:$E$156,3,0)</f>
        <v>Region 1</v>
      </c>
    </row>
    <row r="75" spans="1:6" x14ac:dyDescent="0.25">
      <c r="A75" t="s">
        <v>45</v>
      </c>
      <c r="B75" t="s">
        <v>46</v>
      </c>
      <c r="C75" t="s">
        <v>47</v>
      </c>
      <c r="D75">
        <v>2020</v>
      </c>
      <c r="E75">
        <v>6553.06</v>
      </c>
      <c r="F75" t="str">
        <f>VLOOKUP(B75,'Facility List'!$B$2:$E$156,3,0)</f>
        <v>Region 1</v>
      </c>
    </row>
    <row r="76" spans="1:6" x14ac:dyDescent="0.25">
      <c r="A76" t="s">
        <v>45</v>
      </c>
      <c r="B76" t="s">
        <v>46</v>
      </c>
      <c r="C76" t="s">
        <v>47</v>
      </c>
      <c r="D76">
        <v>2021</v>
      </c>
      <c r="E76">
        <v>6496</v>
      </c>
      <c r="F76" t="str">
        <f>VLOOKUP(B76,'Facility List'!$B$2:$E$156,3,0)</f>
        <v>Region 1</v>
      </c>
    </row>
    <row r="77" spans="1:6" x14ac:dyDescent="0.25">
      <c r="A77" t="s">
        <v>48</v>
      </c>
      <c r="B77" t="s">
        <v>49</v>
      </c>
      <c r="C77" t="s">
        <v>50</v>
      </c>
      <c r="D77">
        <v>2017</v>
      </c>
      <c r="E77">
        <v>3230.5</v>
      </c>
      <c r="F77" t="str">
        <f>VLOOKUP(B77,'Facility List'!$B$2:$E$156,3,0)</f>
        <v>Region 1</v>
      </c>
    </row>
    <row r="78" spans="1:6" x14ac:dyDescent="0.25">
      <c r="A78" t="s">
        <v>48</v>
      </c>
      <c r="B78" t="s">
        <v>49</v>
      </c>
      <c r="C78" t="s">
        <v>50</v>
      </c>
      <c r="D78">
        <v>2018</v>
      </c>
      <c r="E78">
        <v>3389.375</v>
      </c>
      <c r="F78" t="str">
        <f>VLOOKUP(B78,'Facility List'!$B$2:$E$156,3,0)</f>
        <v>Region 1</v>
      </c>
    </row>
    <row r="79" spans="1:6" x14ac:dyDescent="0.25">
      <c r="A79" t="s">
        <v>48</v>
      </c>
      <c r="B79" t="s">
        <v>49</v>
      </c>
      <c r="C79" t="s">
        <v>50</v>
      </c>
      <c r="D79">
        <v>2019</v>
      </c>
      <c r="E79">
        <v>3395.38</v>
      </c>
      <c r="F79" t="str">
        <f>VLOOKUP(B79,'Facility List'!$B$2:$E$156,3,0)</f>
        <v>Region 1</v>
      </c>
    </row>
    <row r="80" spans="1:6" x14ac:dyDescent="0.25">
      <c r="A80" t="s">
        <v>48</v>
      </c>
      <c r="B80" t="s">
        <v>49</v>
      </c>
      <c r="C80" t="s">
        <v>50</v>
      </c>
      <c r="D80">
        <v>2020</v>
      </c>
      <c r="E80">
        <v>3187.54</v>
      </c>
      <c r="F80" t="str">
        <f>VLOOKUP(B80,'Facility List'!$B$2:$E$156,3,0)</f>
        <v>Region 1</v>
      </c>
    </row>
    <row r="81" spans="1:6" x14ac:dyDescent="0.25">
      <c r="A81" t="s">
        <v>48</v>
      </c>
      <c r="B81" t="s">
        <v>49</v>
      </c>
      <c r="C81" t="s">
        <v>50</v>
      </c>
      <c r="D81">
        <v>2021</v>
      </c>
      <c r="E81">
        <v>3061.39</v>
      </c>
      <c r="F81" t="str">
        <f>VLOOKUP(B81,'Facility List'!$B$2:$E$156,3,0)</f>
        <v>Region 1</v>
      </c>
    </row>
    <row r="82" spans="1:6" x14ac:dyDescent="0.25">
      <c r="A82" t="s">
        <v>51</v>
      </c>
      <c r="B82" t="s">
        <v>52</v>
      </c>
      <c r="C82" t="s">
        <v>53</v>
      </c>
      <c r="D82">
        <v>2017</v>
      </c>
      <c r="E82">
        <v>17775</v>
      </c>
      <c r="F82" t="str">
        <f>VLOOKUP(B82,'Facility List'!$B$2:$E$156,3,0)</f>
        <v>Region 2</v>
      </c>
    </row>
    <row r="83" spans="1:6" x14ac:dyDescent="0.25">
      <c r="A83" t="s">
        <v>51</v>
      </c>
      <c r="B83" t="s">
        <v>52</v>
      </c>
      <c r="C83" t="s">
        <v>53</v>
      </c>
      <c r="D83">
        <v>2018</v>
      </c>
      <c r="E83">
        <v>19706.169999999998</v>
      </c>
      <c r="F83" t="str">
        <f>VLOOKUP(B83,'Facility List'!$B$2:$E$156,3,0)</f>
        <v>Region 2</v>
      </c>
    </row>
    <row r="84" spans="1:6" x14ac:dyDescent="0.25">
      <c r="A84" t="s">
        <v>51</v>
      </c>
      <c r="B84" t="s">
        <v>52</v>
      </c>
      <c r="C84" t="s">
        <v>53</v>
      </c>
      <c r="D84">
        <v>2019</v>
      </c>
      <c r="E84">
        <v>25437.9</v>
      </c>
      <c r="F84" t="str">
        <f>VLOOKUP(B84,'Facility List'!$B$2:$E$156,3,0)</f>
        <v>Region 2</v>
      </c>
    </row>
    <row r="85" spans="1:6" x14ac:dyDescent="0.25">
      <c r="A85" t="s">
        <v>51</v>
      </c>
      <c r="B85" t="s">
        <v>52</v>
      </c>
      <c r="C85" t="s">
        <v>53</v>
      </c>
      <c r="D85">
        <v>2020</v>
      </c>
      <c r="E85">
        <v>25355.55</v>
      </c>
      <c r="F85" t="str">
        <f>VLOOKUP(B85,'Facility List'!$B$2:$E$156,3,0)</f>
        <v>Region 2</v>
      </c>
    </row>
    <row r="86" spans="1:6" x14ac:dyDescent="0.25">
      <c r="A86" t="s">
        <v>51</v>
      </c>
      <c r="B86" t="s">
        <v>52</v>
      </c>
      <c r="C86" t="s">
        <v>53</v>
      </c>
      <c r="D86">
        <v>2021</v>
      </c>
      <c r="E86">
        <v>29361.41</v>
      </c>
      <c r="F86" t="str">
        <f>VLOOKUP(B86,'Facility List'!$B$2:$E$156,3,0)</f>
        <v>Region 2</v>
      </c>
    </row>
    <row r="87" spans="1:6" x14ac:dyDescent="0.25">
      <c r="A87" t="s">
        <v>54</v>
      </c>
      <c r="B87" t="s">
        <v>55</v>
      </c>
      <c r="C87" t="s">
        <v>56</v>
      </c>
      <c r="D87">
        <v>2017</v>
      </c>
      <c r="E87">
        <v>9049.0300000000007</v>
      </c>
      <c r="F87" t="str">
        <f>VLOOKUP(B87,'Facility List'!$B$2:$E$156,3,0)</f>
        <v>Region 2</v>
      </c>
    </row>
    <row r="88" spans="1:6" x14ac:dyDescent="0.25">
      <c r="A88" t="s">
        <v>54</v>
      </c>
      <c r="B88" t="s">
        <v>55</v>
      </c>
      <c r="C88" t="s">
        <v>56</v>
      </c>
      <c r="D88">
        <v>2018</v>
      </c>
      <c r="E88">
        <v>9154.44</v>
      </c>
      <c r="F88" t="str">
        <f>VLOOKUP(B88,'Facility List'!$B$2:$E$156,3,0)</f>
        <v>Region 2</v>
      </c>
    </row>
    <row r="89" spans="1:6" x14ac:dyDescent="0.25">
      <c r="A89" t="s">
        <v>54</v>
      </c>
      <c r="B89" t="s">
        <v>55</v>
      </c>
      <c r="C89" t="s">
        <v>56</v>
      </c>
      <c r="D89">
        <v>2019</v>
      </c>
      <c r="E89">
        <v>10521</v>
      </c>
      <c r="F89" t="str">
        <f>VLOOKUP(B89,'Facility List'!$B$2:$E$156,3,0)</f>
        <v>Region 2</v>
      </c>
    </row>
    <row r="90" spans="1:6" x14ac:dyDescent="0.25">
      <c r="A90" t="s">
        <v>54</v>
      </c>
      <c r="B90" t="s">
        <v>55</v>
      </c>
      <c r="C90" t="s">
        <v>56</v>
      </c>
      <c r="D90">
        <v>2020</v>
      </c>
      <c r="E90">
        <v>12394.02</v>
      </c>
      <c r="F90" t="str">
        <f>VLOOKUP(B90,'Facility List'!$B$2:$E$156,3,0)</f>
        <v>Region 2</v>
      </c>
    </row>
    <row r="91" spans="1:6" x14ac:dyDescent="0.25">
      <c r="A91" t="s">
        <v>54</v>
      </c>
      <c r="B91" t="s">
        <v>55</v>
      </c>
      <c r="C91" t="s">
        <v>56</v>
      </c>
      <c r="D91">
        <v>2021</v>
      </c>
      <c r="E91">
        <v>10998.14</v>
      </c>
      <c r="F91" t="str">
        <f>VLOOKUP(B91,'Facility List'!$B$2:$E$156,3,0)</f>
        <v>Region 2</v>
      </c>
    </row>
    <row r="92" spans="1:6" x14ac:dyDescent="0.25">
      <c r="A92" t="s">
        <v>57</v>
      </c>
      <c r="B92" t="s">
        <v>58</v>
      </c>
      <c r="C92" t="s">
        <v>59</v>
      </c>
      <c r="D92">
        <v>2017</v>
      </c>
      <c r="E92">
        <v>4348</v>
      </c>
      <c r="F92" t="str">
        <f>VLOOKUP(B92,'Facility List'!$B$2:$E$156,3,0)</f>
        <v>Region 2</v>
      </c>
    </row>
    <row r="93" spans="1:6" x14ac:dyDescent="0.25">
      <c r="A93" t="s">
        <v>57</v>
      </c>
      <c r="B93" t="s">
        <v>58</v>
      </c>
      <c r="C93" t="s">
        <v>59</v>
      </c>
      <c r="D93">
        <v>2018</v>
      </c>
      <c r="E93">
        <v>3999.2</v>
      </c>
      <c r="F93" t="str">
        <f>VLOOKUP(B93,'Facility List'!$B$2:$E$156,3,0)</f>
        <v>Region 2</v>
      </c>
    </row>
    <row r="94" spans="1:6" x14ac:dyDescent="0.25">
      <c r="A94" t="s">
        <v>57</v>
      </c>
      <c r="B94" t="s">
        <v>58</v>
      </c>
      <c r="C94" t="s">
        <v>59</v>
      </c>
      <c r="D94">
        <v>2019</v>
      </c>
      <c r="E94">
        <v>4546.49</v>
      </c>
      <c r="F94" t="str">
        <f>VLOOKUP(B94,'Facility List'!$B$2:$E$156,3,0)</f>
        <v>Region 2</v>
      </c>
    </row>
    <row r="95" spans="1:6" x14ac:dyDescent="0.25">
      <c r="A95" t="s">
        <v>57</v>
      </c>
      <c r="B95" t="s">
        <v>58</v>
      </c>
      <c r="C95" t="s">
        <v>59</v>
      </c>
      <c r="D95">
        <v>2020</v>
      </c>
      <c r="E95">
        <v>4647.3599999999997</v>
      </c>
      <c r="F95" t="str">
        <f>VLOOKUP(B95,'Facility List'!$B$2:$E$156,3,0)</f>
        <v>Region 2</v>
      </c>
    </row>
    <row r="96" spans="1:6" x14ac:dyDescent="0.25">
      <c r="A96" t="s">
        <v>57</v>
      </c>
      <c r="B96" t="s">
        <v>58</v>
      </c>
      <c r="C96" t="s">
        <v>59</v>
      </c>
      <c r="D96">
        <v>2021</v>
      </c>
      <c r="E96">
        <v>3529</v>
      </c>
      <c r="F96" t="str">
        <f>VLOOKUP(B96,'Facility List'!$B$2:$E$156,3,0)</f>
        <v>Region 2</v>
      </c>
    </row>
    <row r="97" spans="1:6" x14ac:dyDescent="0.25">
      <c r="A97" t="s">
        <v>60</v>
      </c>
      <c r="B97" t="s">
        <v>61</v>
      </c>
      <c r="C97" t="s">
        <v>62</v>
      </c>
      <c r="D97">
        <v>2017</v>
      </c>
      <c r="E97">
        <v>6435.88</v>
      </c>
      <c r="F97" t="str">
        <f>VLOOKUP(B97,'Facility List'!$B$2:$E$156,3,0)</f>
        <v>Region 2</v>
      </c>
    </row>
    <row r="98" spans="1:6" x14ac:dyDescent="0.25">
      <c r="A98" t="s">
        <v>60</v>
      </c>
      <c r="B98" t="s">
        <v>61</v>
      </c>
      <c r="C98" t="s">
        <v>62</v>
      </c>
      <c r="D98">
        <v>2018</v>
      </c>
      <c r="E98">
        <v>6002.24</v>
      </c>
      <c r="F98" t="str">
        <f>VLOOKUP(B98,'Facility List'!$B$2:$E$156,3,0)</f>
        <v>Region 2</v>
      </c>
    </row>
    <row r="99" spans="1:6" x14ac:dyDescent="0.25">
      <c r="A99" t="s">
        <v>60</v>
      </c>
      <c r="B99" t="s">
        <v>61</v>
      </c>
      <c r="C99" t="s">
        <v>62</v>
      </c>
      <c r="D99">
        <v>2019</v>
      </c>
      <c r="E99">
        <v>6134.06</v>
      </c>
      <c r="F99" t="str">
        <f>VLOOKUP(B99,'Facility List'!$B$2:$E$156,3,0)</f>
        <v>Region 2</v>
      </c>
    </row>
    <row r="100" spans="1:6" x14ac:dyDescent="0.25">
      <c r="A100" t="s">
        <v>60</v>
      </c>
      <c r="B100" t="s">
        <v>61</v>
      </c>
      <c r="C100" t="s">
        <v>62</v>
      </c>
      <c r="D100">
        <v>2020</v>
      </c>
      <c r="E100">
        <v>8363.06</v>
      </c>
      <c r="F100" t="str">
        <f>VLOOKUP(B100,'Facility List'!$B$2:$E$156,3,0)</f>
        <v>Region 2</v>
      </c>
    </row>
    <row r="101" spans="1:6" x14ac:dyDescent="0.25">
      <c r="A101" t="s">
        <v>60</v>
      </c>
      <c r="B101" t="s">
        <v>61</v>
      </c>
      <c r="C101" t="s">
        <v>62</v>
      </c>
      <c r="D101">
        <v>2021</v>
      </c>
      <c r="E101">
        <v>5775.7</v>
      </c>
      <c r="F101" t="str">
        <f>VLOOKUP(B101,'Facility List'!$B$2:$E$156,3,0)</f>
        <v>Region 2</v>
      </c>
    </row>
    <row r="102" spans="1:6" x14ac:dyDescent="0.25">
      <c r="A102" t="s">
        <v>63</v>
      </c>
      <c r="B102" t="s">
        <v>64</v>
      </c>
      <c r="C102" t="s">
        <v>65</v>
      </c>
      <c r="D102">
        <v>2017</v>
      </c>
      <c r="E102">
        <v>3206</v>
      </c>
      <c r="F102" t="str">
        <f>VLOOKUP(B102,'Facility List'!$B$2:$E$156,3,0)</f>
        <v>Region 2</v>
      </c>
    </row>
    <row r="103" spans="1:6" x14ac:dyDescent="0.25">
      <c r="A103" t="s">
        <v>63</v>
      </c>
      <c r="B103" t="s">
        <v>64</v>
      </c>
      <c r="C103" t="s">
        <v>65</v>
      </c>
      <c r="D103">
        <v>2018</v>
      </c>
      <c r="E103">
        <v>3206</v>
      </c>
      <c r="F103" t="str">
        <f>VLOOKUP(B103,'Facility List'!$B$2:$E$156,3,0)</f>
        <v>Region 2</v>
      </c>
    </row>
    <row r="104" spans="1:6" x14ac:dyDescent="0.25">
      <c r="A104" t="s">
        <v>63</v>
      </c>
      <c r="B104" t="s">
        <v>64</v>
      </c>
      <c r="C104" t="s">
        <v>65</v>
      </c>
      <c r="D104">
        <v>2019</v>
      </c>
      <c r="E104">
        <v>3206</v>
      </c>
      <c r="F104" t="str">
        <f>VLOOKUP(B104,'Facility List'!$B$2:$E$156,3,0)</f>
        <v>Region 2</v>
      </c>
    </row>
    <row r="105" spans="1:6" x14ac:dyDescent="0.25">
      <c r="A105" t="s">
        <v>63</v>
      </c>
      <c r="B105" t="s">
        <v>64</v>
      </c>
      <c r="C105" t="s">
        <v>65</v>
      </c>
      <c r="D105">
        <v>2020</v>
      </c>
      <c r="E105">
        <v>3026.96</v>
      </c>
      <c r="F105" t="str">
        <f>VLOOKUP(B105,'Facility List'!$B$2:$E$156,3,0)</f>
        <v>Region 2</v>
      </c>
    </row>
    <row r="106" spans="1:6" x14ac:dyDescent="0.25">
      <c r="A106" t="s">
        <v>63</v>
      </c>
      <c r="B106" t="s">
        <v>64</v>
      </c>
      <c r="C106" t="s">
        <v>65</v>
      </c>
      <c r="D106">
        <v>2021</v>
      </c>
      <c r="E106">
        <v>3021.49</v>
      </c>
      <c r="F106" t="str">
        <f>VLOOKUP(B106,'Facility List'!$B$2:$E$156,3,0)</f>
        <v>Region 2</v>
      </c>
    </row>
    <row r="107" spans="1:6" x14ac:dyDescent="0.25">
      <c r="A107" t="s">
        <v>66</v>
      </c>
      <c r="B107" t="s">
        <v>67</v>
      </c>
      <c r="C107" t="s">
        <v>68</v>
      </c>
      <c r="D107">
        <v>2017</v>
      </c>
      <c r="E107">
        <v>270193.06</v>
      </c>
      <c r="F107" t="str">
        <f>VLOOKUP(B107,'Facility List'!$B$2:$E$156,3,0)</f>
        <v>Region 2</v>
      </c>
    </row>
    <row r="108" spans="1:6" x14ac:dyDescent="0.25">
      <c r="A108" t="s">
        <v>66</v>
      </c>
      <c r="B108" t="s">
        <v>67</v>
      </c>
      <c r="C108" t="s">
        <v>68</v>
      </c>
      <c r="D108">
        <v>2018</v>
      </c>
      <c r="E108">
        <v>263433.87</v>
      </c>
      <c r="F108" t="str">
        <f>VLOOKUP(B108,'Facility List'!$B$2:$E$156,3,0)</f>
        <v>Region 2</v>
      </c>
    </row>
    <row r="109" spans="1:6" x14ac:dyDescent="0.25">
      <c r="A109" t="s">
        <v>66</v>
      </c>
      <c r="B109" t="s">
        <v>67</v>
      </c>
      <c r="C109" t="s">
        <v>68</v>
      </c>
      <c r="D109">
        <v>2019</v>
      </c>
      <c r="E109">
        <v>272372.03999999998</v>
      </c>
      <c r="F109" t="str">
        <f>VLOOKUP(B109,'Facility List'!$B$2:$E$156,3,0)</f>
        <v>Region 2</v>
      </c>
    </row>
    <row r="110" spans="1:6" x14ac:dyDescent="0.25">
      <c r="A110" t="s">
        <v>66</v>
      </c>
      <c r="B110" t="s">
        <v>67</v>
      </c>
      <c r="C110" t="s">
        <v>68</v>
      </c>
      <c r="D110">
        <v>2020</v>
      </c>
      <c r="E110">
        <v>267969.68</v>
      </c>
      <c r="F110" t="str">
        <f>VLOOKUP(B110,'Facility List'!$B$2:$E$156,3,0)</f>
        <v>Region 2</v>
      </c>
    </row>
    <row r="111" spans="1:6" x14ac:dyDescent="0.25">
      <c r="A111" t="s">
        <v>66</v>
      </c>
      <c r="B111" t="s">
        <v>67</v>
      </c>
      <c r="C111" t="s">
        <v>68</v>
      </c>
      <c r="D111">
        <v>2021</v>
      </c>
      <c r="E111">
        <v>284141.03000000003</v>
      </c>
      <c r="F111" t="str">
        <f>VLOOKUP(B111,'Facility List'!$B$2:$E$156,3,0)</f>
        <v>Region 2</v>
      </c>
    </row>
    <row r="112" spans="1:6" x14ac:dyDescent="0.25">
      <c r="A112" t="s">
        <v>69</v>
      </c>
      <c r="B112" t="s">
        <v>70</v>
      </c>
      <c r="C112" t="s">
        <v>71</v>
      </c>
      <c r="D112">
        <v>2017</v>
      </c>
      <c r="E112">
        <v>5822</v>
      </c>
      <c r="F112" t="str">
        <f>VLOOKUP(B112,'Facility List'!$B$2:$E$156,3,0)</f>
        <v>Region 2</v>
      </c>
    </row>
    <row r="113" spans="1:6" x14ac:dyDescent="0.25">
      <c r="A113" t="s">
        <v>69</v>
      </c>
      <c r="B113" t="s">
        <v>70</v>
      </c>
      <c r="C113" t="s">
        <v>71</v>
      </c>
      <c r="D113">
        <v>2018</v>
      </c>
      <c r="E113">
        <v>5528</v>
      </c>
      <c r="F113" t="str">
        <f>VLOOKUP(B113,'Facility List'!$B$2:$E$156,3,0)</f>
        <v>Region 2</v>
      </c>
    </row>
    <row r="114" spans="1:6" x14ac:dyDescent="0.25">
      <c r="A114" t="s">
        <v>69</v>
      </c>
      <c r="B114" t="s">
        <v>70</v>
      </c>
      <c r="C114" t="s">
        <v>71</v>
      </c>
      <c r="D114">
        <v>2019</v>
      </c>
      <c r="E114">
        <v>5994</v>
      </c>
      <c r="F114" t="str">
        <f>VLOOKUP(B114,'Facility List'!$B$2:$E$156,3,0)</f>
        <v>Region 2</v>
      </c>
    </row>
    <row r="115" spans="1:6" x14ac:dyDescent="0.25">
      <c r="A115" t="s">
        <v>69</v>
      </c>
      <c r="B115" t="s">
        <v>70</v>
      </c>
      <c r="C115" t="s">
        <v>71</v>
      </c>
      <c r="D115">
        <v>2020</v>
      </c>
      <c r="E115">
        <v>6054</v>
      </c>
      <c r="F115" t="str">
        <f>VLOOKUP(B115,'Facility List'!$B$2:$E$156,3,0)</f>
        <v>Region 2</v>
      </c>
    </row>
    <row r="116" spans="1:6" x14ac:dyDescent="0.25">
      <c r="A116" t="s">
        <v>69</v>
      </c>
      <c r="B116" t="s">
        <v>70</v>
      </c>
      <c r="C116" t="s">
        <v>71</v>
      </c>
      <c r="D116">
        <v>2021</v>
      </c>
      <c r="E116">
        <v>5226</v>
      </c>
      <c r="F116" t="str">
        <f>VLOOKUP(B116,'Facility List'!$B$2:$E$156,3,0)</f>
        <v>Region 2</v>
      </c>
    </row>
    <row r="117" spans="1:6" x14ac:dyDescent="0.25">
      <c r="A117" t="s">
        <v>72</v>
      </c>
      <c r="B117" t="s">
        <v>73</v>
      </c>
      <c r="C117" t="s">
        <v>74</v>
      </c>
      <c r="D117">
        <v>2017</v>
      </c>
      <c r="E117">
        <v>7267</v>
      </c>
      <c r="F117" t="str">
        <f>VLOOKUP(B117,'Facility List'!$B$2:$E$156,3,0)</f>
        <v>Region 2</v>
      </c>
    </row>
    <row r="118" spans="1:6" x14ac:dyDescent="0.25">
      <c r="A118" t="s">
        <v>72</v>
      </c>
      <c r="B118" t="s">
        <v>73</v>
      </c>
      <c r="C118" t="s">
        <v>74</v>
      </c>
      <c r="D118">
        <v>2018</v>
      </c>
      <c r="E118">
        <v>7226</v>
      </c>
      <c r="F118" t="str">
        <f>VLOOKUP(B118,'Facility List'!$B$2:$E$156,3,0)</f>
        <v>Region 2</v>
      </c>
    </row>
    <row r="119" spans="1:6" x14ac:dyDescent="0.25">
      <c r="A119" t="s">
        <v>72</v>
      </c>
      <c r="B119" t="s">
        <v>73</v>
      </c>
      <c r="C119" t="s">
        <v>74</v>
      </c>
      <c r="D119">
        <v>2019</v>
      </c>
      <c r="E119">
        <v>7220.5</v>
      </c>
      <c r="F119" t="str">
        <f>VLOOKUP(B119,'Facility List'!$B$2:$E$156,3,0)</f>
        <v>Region 2</v>
      </c>
    </row>
    <row r="120" spans="1:6" x14ac:dyDescent="0.25">
      <c r="A120" t="s">
        <v>72</v>
      </c>
      <c r="B120" t="s">
        <v>73</v>
      </c>
      <c r="C120" t="s">
        <v>74</v>
      </c>
      <c r="D120">
        <v>2020</v>
      </c>
      <c r="E120">
        <v>7254</v>
      </c>
      <c r="F120" t="str">
        <f>VLOOKUP(B120,'Facility List'!$B$2:$E$156,3,0)</f>
        <v>Region 2</v>
      </c>
    </row>
    <row r="121" spans="1:6" x14ac:dyDescent="0.25">
      <c r="A121" t="s">
        <v>72</v>
      </c>
      <c r="B121" t="s">
        <v>73</v>
      </c>
      <c r="C121" t="s">
        <v>74</v>
      </c>
      <c r="D121">
        <v>2021</v>
      </c>
      <c r="E121">
        <v>6453</v>
      </c>
      <c r="F121" t="str">
        <f>VLOOKUP(B121,'Facility List'!$B$2:$E$156,3,0)</f>
        <v>Region 2</v>
      </c>
    </row>
    <row r="122" spans="1:6" x14ac:dyDescent="0.25">
      <c r="A122" t="s">
        <v>75</v>
      </c>
      <c r="B122" t="s">
        <v>76</v>
      </c>
      <c r="C122" t="s">
        <v>77</v>
      </c>
      <c r="D122">
        <v>2017</v>
      </c>
      <c r="E122">
        <v>7298.21</v>
      </c>
      <c r="F122" t="str">
        <f>VLOOKUP(B122,'Facility List'!$B$2:$E$156,3,0)</f>
        <v>Region 2</v>
      </c>
    </row>
    <row r="123" spans="1:6" x14ac:dyDescent="0.25">
      <c r="A123" t="s">
        <v>75</v>
      </c>
      <c r="B123" t="s">
        <v>76</v>
      </c>
      <c r="C123" t="s">
        <v>77</v>
      </c>
      <c r="D123">
        <v>2018</v>
      </c>
      <c r="E123">
        <v>7299.77</v>
      </c>
      <c r="F123" t="str">
        <f>VLOOKUP(B123,'Facility List'!$B$2:$E$156,3,0)</f>
        <v>Region 2</v>
      </c>
    </row>
    <row r="124" spans="1:6" x14ac:dyDescent="0.25">
      <c r="A124" t="s">
        <v>75</v>
      </c>
      <c r="B124" t="s">
        <v>76</v>
      </c>
      <c r="C124" t="s">
        <v>77</v>
      </c>
      <c r="D124">
        <v>2019</v>
      </c>
      <c r="E124">
        <v>7838.53</v>
      </c>
      <c r="F124" t="str">
        <f>VLOOKUP(B124,'Facility List'!$B$2:$E$156,3,0)</f>
        <v>Region 2</v>
      </c>
    </row>
    <row r="125" spans="1:6" x14ac:dyDescent="0.25">
      <c r="A125" t="s">
        <v>75</v>
      </c>
      <c r="B125" t="s">
        <v>76</v>
      </c>
      <c r="C125" t="s">
        <v>77</v>
      </c>
      <c r="D125">
        <v>2020</v>
      </c>
      <c r="E125">
        <v>7301.67</v>
      </c>
      <c r="F125" t="str">
        <f>VLOOKUP(B125,'Facility List'!$B$2:$E$156,3,0)</f>
        <v>Region 2</v>
      </c>
    </row>
    <row r="126" spans="1:6" x14ac:dyDescent="0.25">
      <c r="A126" t="s">
        <v>75</v>
      </c>
      <c r="B126" t="s">
        <v>76</v>
      </c>
      <c r="C126" t="s">
        <v>77</v>
      </c>
      <c r="D126">
        <v>2021</v>
      </c>
      <c r="E126">
        <v>6985.5</v>
      </c>
      <c r="F126" t="str">
        <f>VLOOKUP(B126,'Facility List'!$B$2:$E$156,3,0)</f>
        <v>Region 2</v>
      </c>
    </row>
    <row r="127" spans="1:6" x14ac:dyDescent="0.25">
      <c r="A127" t="s">
        <v>78</v>
      </c>
      <c r="B127" t="s">
        <v>79</v>
      </c>
      <c r="C127" t="s">
        <v>80</v>
      </c>
      <c r="D127">
        <v>2017</v>
      </c>
      <c r="E127">
        <v>7299.91</v>
      </c>
      <c r="F127" t="str">
        <f>VLOOKUP(B127,'Facility List'!$B$2:$E$156,3,0)</f>
        <v>Region 2</v>
      </c>
    </row>
    <row r="128" spans="1:6" x14ac:dyDescent="0.25">
      <c r="A128" t="s">
        <v>78</v>
      </c>
      <c r="B128" t="s">
        <v>79</v>
      </c>
      <c r="C128" t="s">
        <v>80</v>
      </c>
      <c r="D128">
        <v>2018</v>
      </c>
      <c r="E128">
        <v>7300.93</v>
      </c>
      <c r="F128" t="str">
        <f>VLOOKUP(B128,'Facility List'!$B$2:$E$156,3,0)</f>
        <v>Region 2</v>
      </c>
    </row>
    <row r="129" spans="1:6" x14ac:dyDescent="0.25">
      <c r="A129" t="s">
        <v>78</v>
      </c>
      <c r="B129" t="s">
        <v>79</v>
      </c>
      <c r="C129" t="s">
        <v>80</v>
      </c>
      <c r="D129">
        <v>2019</v>
      </c>
      <c r="E129">
        <v>7300</v>
      </c>
      <c r="F129" t="str">
        <f>VLOOKUP(B129,'Facility List'!$B$2:$E$156,3,0)</f>
        <v>Region 2</v>
      </c>
    </row>
    <row r="130" spans="1:6" x14ac:dyDescent="0.25">
      <c r="A130" t="s">
        <v>78</v>
      </c>
      <c r="B130" t="s">
        <v>79</v>
      </c>
      <c r="C130" t="s">
        <v>80</v>
      </c>
      <c r="D130">
        <v>2020</v>
      </c>
      <c r="E130">
        <v>7299.49</v>
      </c>
      <c r="F130" t="str">
        <f>VLOOKUP(B130,'Facility List'!$B$2:$E$156,3,0)</f>
        <v>Region 2</v>
      </c>
    </row>
    <row r="131" spans="1:6" x14ac:dyDescent="0.25">
      <c r="A131" t="s">
        <v>78</v>
      </c>
      <c r="B131" t="s">
        <v>79</v>
      </c>
      <c r="C131" t="s">
        <v>80</v>
      </c>
      <c r="D131">
        <v>2021</v>
      </c>
      <c r="E131">
        <v>6776</v>
      </c>
      <c r="F131" t="str">
        <f>VLOOKUP(B131,'Facility List'!$B$2:$E$156,3,0)</f>
        <v>Region 2</v>
      </c>
    </row>
    <row r="132" spans="1:6" x14ac:dyDescent="0.25">
      <c r="A132" t="s">
        <v>81</v>
      </c>
      <c r="B132" t="s">
        <v>82</v>
      </c>
      <c r="C132" t="s">
        <v>83</v>
      </c>
      <c r="D132">
        <v>2017</v>
      </c>
      <c r="E132">
        <v>7313.89</v>
      </c>
      <c r="F132" t="str">
        <f>VLOOKUP(B132,'Facility List'!$B$2:$E$156,3,0)</f>
        <v>Region 2</v>
      </c>
    </row>
    <row r="133" spans="1:6" x14ac:dyDescent="0.25">
      <c r="A133" t="s">
        <v>81</v>
      </c>
      <c r="B133" t="s">
        <v>82</v>
      </c>
      <c r="C133" t="s">
        <v>83</v>
      </c>
      <c r="D133">
        <v>2018</v>
      </c>
      <c r="E133">
        <v>7273.49</v>
      </c>
      <c r="F133" t="str">
        <f>VLOOKUP(B133,'Facility List'!$B$2:$E$156,3,0)</f>
        <v>Region 2</v>
      </c>
    </row>
    <row r="134" spans="1:6" x14ac:dyDescent="0.25">
      <c r="A134" t="s">
        <v>81</v>
      </c>
      <c r="B134" t="s">
        <v>82</v>
      </c>
      <c r="C134" t="s">
        <v>83</v>
      </c>
      <c r="D134">
        <v>2019</v>
      </c>
      <c r="E134">
        <v>7270.89</v>
      </c>
      <c r="F134" t="str">
        <f>VLOOKUP(B134,'Facility List'!$B$2:$E$156,3,0)</f>
        <v>Region 2</v>
      </c>
    </row>
    <row r="135" spans="1:6" x14ac:dyDescent="0.25">
      <c r="A135" t="s">
        <v>81</v>
      </c>
      <c r="B135" t="s">
        <v>82</v>
      </c>
      <c r="C135" t="s">
        <v>83</v>
      </c>
      <c r="D135">
        <v>2020</v>
      </c>
      <c r="E135">
        <v>7296.27</v>
      </c>
      <c r="F135" t="str">
        <f>VLOOKUP(B135,'Facility List'!$B$2:$E$156,3,0)</f>
        <v>Region 2</v>
      </c>
    </row>
    <row r="136" spans="1:6" x14ac:dyDescent="0.25">
      <c r="A136" t="s">
        <v>81</v>
      </c>
      <c r="B136" t="s">
        <v>82</v>
      </c>
      <c r="C136" t="s">
        <v>83</v>
      </c>
      <c r="D136">
        <v>2021</v>
      </c>
      <c r="E136">
        <v>7280.54</v>
      </c>
      <c r="F136" t="str">
        <f>VLOOKUP(B136,'Facility List'!$B$2:$E$156,3,0)</f>
        <v>Region 2</v>
      </c>
    </row>
    <row r="137" spans="1:6" x14ac:dyDescent="0.25">
      <c r="A137" t="s">
        <v>84</v>
      </c>
      <c r="B137" t="s">
        <v>85</v>
      </c>
      <c r="C137" t="s">
        <v>86</v>
      </c>
      <c r="D137">
        <v>2017</v>
      </c>
      <c r="E137">
        <v>2591.31</v>
      </c>
      <c r="F137" t="str">
        <f>VLOOKUP(B137,'Facility List'!$B$2:$E$156,3,0)</f>
        <v>Region 2</v>
      </c>
    </row>
    <row r="138" spans="1:6" x14ac:dyDescent="0.25">
      <c r="A138" t="s">
        <v>84</v>
      </c>
      <c r="B138" t="s">
        <v>85</v>
      </c>
      <c r="C138" t="s">
        <v>86</v>
      </c>
      <c r="D138">
        <v>2018</v>
      </c>
      <c r="E138">
        <v>2904.6</v>
      </c>
      <c r="F138" t="str">
        <f>VLOOKUP(B138,'Facility List'!$B$2:$E$156,3,0)</f>
        <v>Region 2</v>
      </c>
    </row>
    <row r="139" spans="1:6" x14ac:dyDescent="0.25">
      <c r="A139" t="s">
        <v>84</v>
      </c>
      <c r="B139" t="s">
        <v>85</v>
      </c>
      <c r="C139" t="s">
        <v>86</v>
      </c>
      <c r="D139">
        <v>2019</v>
      </c>
      <c r="E139">
        <v>2928.12</v>
      </c>
      <c r="F139" t="str">
        <f>VLOOKUP(B139,'Facility List'!$B$2:$E$156,3,0)</f>
        <v>Region 2</v>
      </c>
    </row>
    <row r="140" spans="1:6" x14ac:dyDescent="0.25">
      <c r="A140" t="s">
        <v>84</v>
      </c>
      <c r="B140" t="s">
        <v>85</v>
      </c>
      <c r="C140" t="s">
        <v>86</v>
      </c>
      <c r="D140">
        <v>2020</v>
      </c>
      <c r="E140">
        <v>2714.12</v>
      </c>
      <c r="F140" t="str">
        <f>VLOOKUP(B140,'Facility List'!$B$2:$E$156,3,0)</f>
        <v>Region 2</v>
      </c>
    </row>
    <row r="141" spans="1:6" x14ac:dyDescent="0.25">
      <c r="A141" t="s">
        <v>84</v>
      </c>
      <c r="B141" t="s">
        <v>85</v>
      </c>
      <c r="C141" t="s">
        <v>86</v>
      </c>
      <c r="D141">
        <v>2021</v>
      </c>
      <c r="E141">
        <v>2842.41</v>
      </c>
      <c r="F141" t="str">
        <f>VLOOKUP(B141,'Facility List'!$B$2:$E$156,3,0)</f>
        <v>Region 2</v>
      </c>
    </row>
    <row r="142" spans="1:6" x14ac:dyDescent="0.25">
      <c r="A142" t="s">
        <v>87</v>
      </c>
      <c r="B142" t="s">
        <v>88</v>
      </c>
      <c r="C142" t="s">
        <v>89</v>
      </c>
      <c r="D142">
        <v>2017</v>
      </c>
      <c r="E142">
        <v>5500</v>
      </c>
      <c r="F142" t="str">
        <f>VLOOKUP(B142,'Facility List'!$B$2:$E$156,3,0)</f>
        <v>Region 2</v>
      </c>
    </row>
    <row r="143" spans="1:6" x14ac:dyDescent="0.25">
      <c r="A143" t="s">
        <v>87</v>
      </c>
      <c r="B143" t="s">
        <v>88</v>
      </c>
      <c r="C143" t="s">
        <v>89</v>
      </c>
      <c r="D143">
        <v>2018</v>
      </c>
      <c r="E143">
        <v>5522</v>
      </c>
      <c r="F143" t="str">
        <f>VLOOKUP(B143,'Facility List'!$B$2:$E$156,3,0)</f>
        <v>Region 2</v>
      </c>
    </row>
    <row r="144" spans="1:6" x14ac:dyDescent="0.25">
      <c r="A144" t="s">
        <v>87</v>
      </c>
      <c r="B144" t="s">
        <v>88</v>
      </c>
      <c r="C144" t="s">
        <v>89</v>
      </c>
      <c r="D144">
        <v>2019</v>
      </c>
      <c r="E144">
        <v>5911.2</v>
      </c>
      <c r="F144" t="str">
        <f>VLOOKUP(B144,'Facility List'!$B$2:$E$156,3,0)</f>
        <v>Region 2</v>
      </c>
    </row>
    <row r="145" spans="1:6" x14ac:dyDescent="0.25">
      <c r="A145" t="s">
        <v>87</v>
      </c>
      <c r="B145" t="s">
        <v>88</v>
      </c>
      <c r="C145" t="s">
        <v>89</v>
      </c>
      <c r="D145">
        <v>2020</v>
      </c>
      <c r="E145">
        <v>6396.3</v>
      </c>
      <c r="F145" t="str">
        <f>VLOOKUP(B145,'Facility List'!$B$2:$E$156,3,0)</f>
        <v>Region 2</v>
      </c>
    </row>
    <row r="146" spans="1:6" x14ac:dyDescent="0.25">
      <c r="A146" t="s">
        <v>87</v>
      </c>
      <c r="B146" t="s">
        <v>88</v>
      </c>
      <c r="C146" t="s">
        <v>89</v>
      </c>
      <c r="D146">
        <v>2021</v>
      </c>
      <c r="E146">
        <v>6510.3</v>
      </c>
      <c r="F146" t="str">
        <f>VLOOKUP(B146,'Facility List'!$B$2:$E$156,3,0)</f>
        <v>Region 2</v>
      </c>
    </row>
    <row r="147" spans="1:6" x14ac:dyDescent="0.25">
      <c r="A147" t="s">
        <v>93</v>
      </c>
      <c r="B147" t="s">
        <v>94</v>
      </c>
      <c r="C147" t="s">
        <v>95</v>
      </c>
      <c r="D147">
        <v>2017</v>
      </c>
      <c r="E147">
        <v>136911.4</v>
      </c>
      <c r="F147" t="str">
        <f>VLOOKUP(B147,'Facility List'!$B$2:$E$156,3,0)</f>
        <v>Region 3</v>
      </c>
    </row>
    <row r="148" spans="1:6" x14ac:dyDescent="0.25">
      <c r="A148" t="s">
        <v>93</v>
      </c>
      <c r="B148" t="s">
        <v>94</v>
      </c>
      <c r="C148" t="s">
        <v>95</v>
      </c>
      <c r="D148">
        <v>2018</v>
      </c>
      <c r="E148">
        <v>131442.1</v>
      </c>
      <c r="F148" t="str">
        <f>VLOOKUP(B148,'Facility List'!$B$2:$E$156,3,0)</f>
        <v>Region 3</v>
      </c>
    </row>
    <row r="149" spans="1:6" x14ac:dyDescent="0.25">
      <c r="A149" t="s">
        <v>93</v>
      </c>
      <c r="B149" t="s">
        <v>94</v>
      </c>
      <c r="C149" t="s">
        <v>95</v>
      </c>
      <c r="D149">
        <v>2019</v>
      </c>
      <c r="E149">
        <v>154748</v>
      </c>
      <c r="F149" t="str">
        <f>VLOOKUP(B149,'Facility List'!$B$2:$E$156,3,0)</f>
        <v>Region 3</v>
      </c>
    </row>
    <row r="150" spans="1:6" x14ac:dyDescent="0.25">
      <c r="A150" t="s">
        <v>93</v>
      </c>
      <c r="B150" t="s">
        <v>94</v>
      </c>
      <c r="C150" t="s">
        <v>95</v>
      </c>
      <c r="D150">
        <v>2020</v>
      </c>
      <c r="E150">
        <v>156390.79999999999</v>
      </c>
      <c r="F150" t="str">
        <f>VLOOKUP(B150,'Facility List'!$B$2:$E$156,3,0)</f>
        <v>Region 3</v>
      </c>
    </row>
    <row r="151" spans="1:6" x14ac:dyDescent="0.25">
      <c r="A151" t="s">
        <v>93</v>
      </c>
      <c r="B151" t="s">
        <v>94</v>
      </c>
      <c r="C151" t="s">
        <v>95</v>
      </c>
      <c r="D151">
        <v>2021</v>
      </c>
      <c r="E151">
        <v>143219.66</v>
      </c>
      <c r="F151" t="str">
        <f>VLOOKUP(B151,'Facility List'!$B$2:$E$156,3,0)</f>
        <v>Region 3</v>
      </c>
    </row>
    <row r="152" spans="1:6" x14ac:dyDescent="0.25">
      <c r="A152" t="s">
        <v>96</v>
      </c>
      <c r="B152" t="s">
        <v>97</v>
      </c>
      <c r="C152" t="s">
        <v>98</v>
      </c>
      <c r="D152">
        <v>2017</v>
      </c>
      <c r="E152">
        <v>27280</v>
      </c>
      <c r="F152" t="str">
        <f>VLOOKUP(B152,'Facility List'!$B$2:$E$156,3,0)</f>
        <v>Region 3</v>
      </c>
    </row>
    <row r="153" spans="1:6" x14ac:dyDescent="0.25">
      <c r="A153" t="s">
        <v>96</v>
      </c>
      <c r="B153" t="s">
        <v>97</v>
      </c>
      <c r="C153" t="s">
        <v>98</v>
      </c>
      <c r="D153">
        <v>2018</v>
      </c>
      <c r="E153">
        <v>24337</v>
      </c>
      <c r="F153" t="str">
        <f>VLOOKUP(B153,'Facility List'!$B$2:$E$156,3,0)</f>
        <v>Region 3</v>
      </c>
    </row>
    <row r="154" spans="1:6" x14ac:dyDescent="0.25">
      <c r="A154" t="s">
        <v>96</v>
      </c>
      <c r="B154" t="s">
        <v>97</v>
      </c>
      <c r="C154" t="s">
        <v>98</v>
      </c>
      <c r="D154">
        <v>2019</v>
      </c>
      <c r="E154">
        <v>27106</v>
      </c>
      <c r="F154" t="str">
        <f>VLOOKUP(B154,'Facility List'!$B$2:$E$156,3,0)</f>
        <v>Region 3</v>
      </c>
    </row>
    <row r="155" spans="1:6" x14ac:dyDescent="0.25">
      <c r="A155" t="s">
        <v>96</v>
      </c>
      <c r="B155" t="s">
        <v>97</v>
      </c>
      <c r="C155" t="s">
        <v>98</v>
      </c>
      <c r="D155">
        <v>2020</v>
      </c>
      <c r="E155">
        <v>30955</v>
      </c>
      <c r="F155" t="str">
        <f>VLOOKUP(B155,'Facility List'!$B$2:$E$156,3,0)</f>
        <v>Region 3</v>
      </c>
    </row>
    <row r="156" spans="1:6" x14ac:dyDescent="0.25">
      <c r="A156" t="s">
        <v>96</v>
      </c>
      <c r="B156" t="s">
        <v>97</v>
      </c>
      <c r="C156" t="s">
        <v>98</v>
      </c>
      <c r="D156">
        <v>2021</v>
      </c>
      <c r="E156">
        <v>20509</v>
      </c>
      <c r="F156" t="str">
        <f>VLOOKUP(B156,'Facility List'!$B$2:$E$156,3,0)</f>
        <v>Region 3</v>
      </c>
    </row>
    <row r="157" spans="1:6" x14ac:dyDescent="0.25">
      <c r="A157" t="s">
        <v>99</v>
      </c>
      <c r="B157" t="s">
        <v>100</v>
      </c>
      <c r="C157" t="s">
        <v>101</v>
      </c>
      <c r="D157">
        <v>2017</v>
      </c>
      <c r="E157">
        <v>152044</v>
      </c>
      <c r="F157" t="str">
        <f>VLOOKUP(B157,'Facility List'!$B$2:$E$156,3,0)</f>
        <v>Region 3</v>
      </c>
    </row>
    <row r="158" spans="1:6" x14ac:dyDescent="0.25">
      <c r="A158" t="s">
        <v>99</v>
      </c>
      <c r="B158" t="s">
        <v>100</v>
      </c>
      <c r="C158" t="s">
        <v>101</v>
      </c>
      <c r="D158">
        <v>2018</v>
      </c>
      <c r="E158">
        <v>130366</v>
      </c>
      <c r="F158" t="str">
        <f>VLOOKUP(B158,'Facility List'!$B$2:$E$156,3,0)</f>
        <v>Region 3</v>
      </c>
    </row>
    <row r="159" spans="1:6" x14ac:dyDescent="0.25">
      <c r="A159" t="s">
        <v>99</v>
      </c>
      <c r="B159" t="s">
        <v>100</v>
      </c>
      <c r="C159" t="s">
        <v>101</v>
      </c>
      <c r="D159">
        <v>2019</v>
      </c>
      <c r="E159">
        <v>126084</v>
      </c>
      <c r="F159" t="str">
        <f>VLOOKUP(B159,'Facility List'!$B$2:$E$156,3,0)</f>
        <v>Region 3</v>
      </c>
    </row>
    <row r="160" spans="1:6" x14ac:dyDescent="0.25">
      <c r="A160" t="s">
        <v>99</v>
      </c>
      <c r="B160" t="s">
        <v>100</v>
      </c>
      <c r="C160" t="s">
        <v>101</v>
      </c>
      <c r="D160">
        <v>2020</v>
      </c>
      <c r="E160">
        <v>115429</v>
      </c>
      <c r="F160" t="str">
        <f>VLOOKUP(B160,'Facility List'!$B$2:$E$156,3,0)</f>
        <v>Region 3</v>
      </c>
    </row>
    <row r="161" spans="1:6" x14ac:dyDescent="0.25">
      <c r="A161" t="s">
        <v>99</v>
      </c>
      <c r="B161" t="s">
        <v>100</v>
      </c>
      <c r="C161" t="s">
        <v>101</v>
      </c>
      <c r="D161">
        <v>2021</v>
      </c>
      <c r="E161">
        <v>162917</v>
      </c>
      <c r="F161" t="str">
        <f>VLOOKUP(B161,'Facility List'!$B$2:$E$156,3,0)</f>
        <v>Region 3</v>
      </c>
    </row>
    <row r="162" spans="1:6" x14ac:dyDescent="0.25">
      <c r="A162" t="s">
        <v>102</v>
      </c>
      <c r="B162" t="s">
        <v>103</v>
      </c>
      <c r="C162" t="s">
        <v>104</v>
      </c>
      <c r="D162">
        <v>2017</v>
      </c>
      <c r="E162">
        <v>59108.69</v>
      </c>
      <c r="F162" t="str">
        <f>VLOOKUP(B162,'Facility List'!$B$2:$E$156,3,0)</f>
        <v>Region 3</v>
      </c>
    </row>
    <row r="163" spans="1:6" x14ac:dyDescent="0.25">
      <c r="A163" t="s">
        <v>102</v>
      </c>
      <c r="B163" t="s">
        <v>103</v>
      </c>
      <c r="C163" t="s">
        <v>104</v>
      </c>
      <c r="D163">
        <v>2018</v>
      </c>
      <c r="E163">
        <v>58797.91</v>
      </c>
      <c r="F163" t="str">
        <f>VLOOKUP(B163,'Facility List'!$B$2:$E$156,3,0)</f>
        <v>Region 3</v>
      </c>
    </row>
    <row r="164" spans="1:6" x14ac:dyDescent="0.25">
      <c r="A164" t="s">
        <v>102</v>
      </c>
      <c r="B164" t="s">
        <v>103</v>
      </c>
      <c r="C164" t="s">
        <v>104</v>
      </c>
      <c r="D164">
        <v>2019</v>
      </c>
      <c r="E164">
        <v>60448.68</v>
      </c>
      <c r="F164" t="str">
        <f>VLOOKUP(B164,'Facility List'!$B$2:$E$156,3,0)</f>
        <v>Region 3</v>
      </c>
    </row>
    <row r="165" spans="1:6" x14ac:dyDescent="0.25">
      <c r="A165" t="s">
        <v>102</v>
      </c>
      <c r="B165" t="s">
        <v>103</v>
      </c>
      <c r="C165" t="s">
        <v>104</v>
      </c>
      <c r="D165">
        <v>2020</v>
      </c>
      <c r="E165">
        <v>59586.59</v>
      </c>
      <c r="F165" t="str">
        <f>VLOOKUP(B165,'Facility List'!$B$2:$E$156,3,0)</f>
        <v>Region 3</v>
      </c>
    </row>
    <row r="166" spans="1:6" x14ac:dyDescent="0.25">
      <c r="A166" t="s">
        <v>102</v>
      </c>
      <c r="B166" t="s">
        <v>103</v>
      </c>
      <c r="C166" t="s">
        <v>104</v>
      </c>
      <c r="D166">
        <v>2021</v>
      </c>
      <c r="E166">
        <v>61691.94</v>
      </c>
      <c r="F166" t="str">
        <f>VLOOKUP(B166,'Facility List'!$B$2:$E$156,3,0)</f>
        <v>Region 3</v>
      </c>
    </row>
    <row r="167" spans="1:6" x14ac:dyDescent="0.25">
      <c r="A167" t="s">
        <v>105</v>
      </c>
      <c r="B167" t="s">
        <v>106</v>
      </c>
      <c r="C167" t="s">
        <v>107</v>
      </c>
      <c r="D167">
        <v>2017</v>
      </c>
      <c r="E167">
        <v>85355.6</v>
      </c>
      <c r="F167" t="str">
        <f>VLOOKUP(B167,'Facility List'!$B$2:$E$156,3,0)</f>
        <v>Region 3</v>
      </c>
    </row>
    <row r="168" spans="1:6" x14ac:dyDescent="0.25">
      <c r="A168" t="s">
        <v>105</v>
      </c>
      <c r="B168" t="s">
        <v>106</v>
      </c>
      <c r="C168" t="s">
        <v>107</v>
      </c>
      <c r="D168">
        <v>2018</v>
      </c>
      <c r="E168">
        <v>93282.559999999998</v>
      </c>
      <c r="F168" t="str">
        <f>VLOOKUP(B168,'Facility List'!$B$2:$E$156,3,0)</f>
        <v>Region 3</v>
      </c>
    </row>
    <row r="169" spans="1:6" x14ac:dyDescent="0.25">
      <c r="A169" t="s">
        <v>105</v>
      </c>
      <c r="B169" t="s">
        <v>106</v>
      </c>
      <c r="C169" t="s">
        <v>107</v>
      </c>
      <c r="D169">
        <v>2019</v>
      </c>
      <c r="E169">
        <v>99963.37</v>
      </c>
      <c r="F169" t="str">
        <f>VLOOKUP(B169,'Facility List'!$B$2:$E$156,3,0)</f>
        <v>Region 3</v>
      </c>
    </row>
    <row r="170" spans="1:6" x14ac:dyDescent="0.25">
      <c r="A170" t="s">
        <v>105</v>
      </c>
      <c r="B170" t="s">
        <v>106</v>
      </c>
      <c r="C170" t="s">
        <v>107</v>
      </c>
      <c r="D170">
        <v>2020</v>
      </c>
      <c r="E170">
        <v>123506.81</v>
      </c>
      <c r="F170" t="str">
        <f>VLOOKUP(B170,'Facility List'!$B$2:$E$156,3,0)</f>
        <v>Region 3</v>
      </c>
    </row>
    <row r="171" spans="1:6" x14ac:dyDescent="0.25">
      <c r="A171" t="s">
        <v>105</v>
      </c>
      <c r="B171" t="s">
        <v>106</v>
      </c>
      <c r="C171" t="s">
        <v>107</v>
      </c>
      <c r="D171">
        <v>2021</v>
      </c>
      <c r="E171">
        <v>127963.44</v>
      </c>
      <c r="F171" t="str">
        <f>VLOOKUP(B171,'Facility List'!$B$2:$E$156,3,0)</f>
        <v>Region 3</v>
      </c>
    </row>
    <row r="172" spans="1:6" x14ac:dyDescent="0.25">
      <c r="A172" t="s">
        <v>108</v>
      </c>
      <c r="B172" t="s">
        <v>109</v>
      </c>
      <c r="C172" t="s">
        <v>110</v>
      </c>
      <c r="D172">
        <v>2017</v>
      </c>
      <c r="E172">
        <v>5543.16</v>
      </c>
      <c r="F172" t="str">
        <f>VLOOKUP(B172,'Facility List'!$B$2:$E$156,3,0)</f>
        <v>Region 3</v>
      </c>
    </row>
    <row r="173" spans="1:6" x14ac:dyDescent="0.25">
      <c r="A173" t="s">
        <v>108</v>
      </c>
      <c r="B173" t="s">
        <v>109</v>
      </c>
      <c r="C173" t="s">
        <v>110</v>
      </c>
      <c r="D173">
        <v>2018</v>
      </c>
      <c r="E173">
        <v>5840.32</v>
      </c>
      <c r="F173" t="str">
        <f>VLOOKUP(B173,'Facility List'!$B$2:$E$156,3,0)</f>
        <v>Region 3</v>
      </c>
    </row>
    <row r="174" spans="1:6" x14ac:dyDescent="0.25">
      <c r="A174" t="s">
        <v>108</v>
      </c>
      <c r="B174" t="s">
        <v>109</v>
      </c>
      <c r="C174" t="s">
        <v>110</v>
      </c>
      <c r="D174">
        <v>2019</v>
      </c>
      <c r="E174">
        <v>5512.02</v>
      </c>
      <c r="F174" t="str">
        <f>VLOOKUP(B174,'Facility List'!$B$2:$E$156,3,0)</f>
        <v>Region 3</v>
      </c>
    </row>
    <row r="175" spans="1:6" x14ac:dyDescent="0.25">
      <c r="A175" t="s">
        <v>108</v>
      </c>
      <c r="B175" t="s">
        <v>109</v>
      </c>
      <c r="C175" t="s">
        <v>110</v>
      </c>
      <c r="D175">
        <v>2020</v>
      </c>
      <c r="E175">
        <v>7350.84</v>
      </c>
      <c r="F175" t="str">
        <f>VLOOKUP(B175,'Facility List'!$B$2:$E$156,3,0)</f>
        <v>Region 3</v>
      </c>
    </row>
    <row r="176" spans="1:6" x14ac:dyDescent="0.25">
      <c r="A176" t="s">
        <v>108</v>
      </c>
      <c r="B176" t="s">
        <v>109</v>
      </c>
      <c r="C176" t="s">
        <v>110</v>
      </c>
      <c r="D176">
        <v>2021</v>
      </c>
      <c r="E176">
        <v>6887.6710000000003</v>
      </c>
      <c r="F176" t="str">
        <f>VLOOKUP(B176,'Facility List'!$B$2:$E$156,3,0)</f>
        <v>Region 3</v>
      </c>
    </row>
    <row r="177" spans="1:6" x14ac:dyDescent="0.25">
      <c r="A177" t="s">
        <v>111</v>
      </c>
      <c r="B177" s="1" t="s">
        <v>112</v>
      </c>
      <c r="C177" t="s">
        <v>113</v>
      </c>
      <c r="D177">
        <v>2017</v>
      </c>
      <c r="E177">
        <v>24833.03</v>
      </c>
      <c r="F177" t="str">
        <f>VLOOKUP(B177,'Facility List'!$B$2:$E$156,3,0)</f>
        <v>Region 3</v>
      </c>
    </row>
    <row r="178" spans="1:6" x14ac:dyDescent="0.25">
      <c r="A178" t="s">
        <v>111</v>
      </c>
      <c r="B178" s="1" t="s">
        <v>112</v>
      </c>
      <c r="C178" t="s">
        <v>113</v>
      </c>
      <c r="D178">
        <v>2018</v>
      </c>
      <c r="E178">
        <v>28868.12</v>
      </c>
      <c r="F178" t="str">
        <f>VLOOKUP(B178,'Facility List'!$B$2:$E$156,3,0)</f>
        <v>Region 3</v>
      </c>
    </row>
    <row r="179" spans="1:6" x14ac:dyDescent="0.25">
      <c r="A179" t="s">
        <v>111</v>
      </c>
      <c r="B179" s="1" t="s">
        <v>112</v>
      </c>
      <c r="C179" t="s">
        <v>113</v>
      </c>
      <c r="D179">
        <v>2019</v>
      </c>
      <c r="E179">
        <v>36723</v>
      </c>
      <c r="F179" t="str">
        <f>VLOOKUP(B179,'Facility List'!$B$2:$E$156,3,0)</f>
        <v>Region 3</v>
      </c>
    </row>
    <row r="180" spans="1:6" x14ac:dyDescent="0.25">
      <c r="A180" t="s">
        <v>111</v>
      </c>
      <c r="B180" s="1" t="s">
        <v>112</v>
      </c>
      <c r="C180" t="s">
        <v>113</v>
      </c>
      <c r="D180">
        <v>2020</v>
      </c>
      <c r="E180">
        <v>41014.49</v>
      </c>
      <c r="F180" t="str">
        <f>VLOOKUP(B180,'Facility List'!$B$2:$E$156,3,0)</f>
        <v>Region 3</v>
      </c>
    </row>
    <row r="181" spans="1:6" x14ac:dyDescent="0.25">
      <c r="A181" t="s">
        <v>111</v>
      </c>
      <c r="B181" s="1" t="s">
        <v>112</v>
      </c>
      <c r="C181" t="s">
        <v>113</v>
      </c>
      <c r="D181">
        <v>2021</v>
      </c>
      <c r="E181">
        <v>12048.5</v>
      </c>
      <c r="F181" t="str">
        <f>VLOOKUP(B181,'Facility List'!$B$2:$E$156,3,0)</f>
        <v>Region 3</v>
      </c>
    </row>
    <row r="182" spans="1:6" x14ac:dyDescent="0.25">
      <c r="A182" t="s">
        <v>114</v>
      </c>
      <c r="B182" t="s">
        <v>115</v>
      </c>
      <c r="C182" t="s">
        <v>116</v>
      </c>
      <c r="D182">
        <v>2017</v>
      </c>
      <c r="E182">
        <v>9636</v>
      </c>
      <c r="F182" t="str">
        <f>VLOOKUP(B182,'Facility List'!$B$2:$E$156,3,0)</f>
        <v>Region 3</v>
      </c>
    </row>
    <row r="183" spans="1:6" x14ac:dyDescent="0.25">
      <c r="A183" t="s">
        <v>114</v>
      </c>
      <c r="B183" t="s">
        <v>115</v>
      </c>
      <c r="C183" t="s">
        <v>116</v>
      </c>
      <c r="D183">
        <v>2018</v>
      </c>
      <c r="E183">
        <v>7678</v>
      </c>
      <c r="F183" t="str">
        <f>VLOOKUP(B183,'Facility List'!$B$2:$E$156,3,0)</f>
        <v>Region 3</v>
      </c>
    </row>
    <row r="184" spans="1:6" x14ac:dyDescent="0.25">
      <c r="A184" t="s">
        <v>114</v>
      </c>
      <c r="B184" t="s">
        <v>115</v>
      </c>
      <c r="C184" t="s">
        <v>116</v>
      </c>
      <c r="D184">
        <v>2019</v>
      </c>
      <c r="E184">
        <v>4534</v>
      </c>
      <c r="F184" t="str">
        <f>VLOOKUP(B184,'Facility List'!$B$2:$E$156,3,0)</f>
        <v>Region 3</v>
      </c>
    </row>
    <row r="185" spans="1:6" x14ac:dyDescent="0.25">
      <c r="A185" t="s">
        <v>114</v>
      </c>
      <c r="B185" t="s">
        <v>115</v>
      </c>
      <c r="C185" t="s">
        <v>116</v>
      </c>
      <c r="D185">
        <v>2020</v>
      </c>
      <c r="E185">
        <v>7620</v>
      </c>
      <c r="F185" t="str">
        <f>VLOOKUP(B185,'Facility List'!$B$2:$E$156,3,0)</f>
        <v>Region 3</v>
      </c>
    </row>
    <row r="186" spans="1:6" x14ac:dyDescent="0.25">
      <c r="A186" t="s">
        <v>114</v>
      </c>
      <c r="B186" t="s">
        <v>115</v>
      </c>
      <c r="C186" t="s">
        <v>116</v>
      </c>
      <c r="D186">
        <v>2021</v>
      </c>
      <c r="E186">
        <v>3493.7</v>
      </c>
      <c r="F186" t="str">
        <f>VLOOKUP(B186,'Facility List'!$B$2:$E$156,3,0)</f>
        <v>Region 3</v>
      </c>
    </row>
    <row r="187" spans="1:6" x14ac:dyDescent="0.25">
      <c r="A187" t="s">
        <v>117</v>
      </c>
      <c r="B187" t="s">
        <v>118</v>
      </c>
      <c r="C187" t="s">
        <v>119</v>
      </c>
      <c r="D187">
        <v>2017</v>
      </c>
      <c r="E187">
        <v>1017571</v>
      </c>
      <c r="F187" t="str">
        <f>VLOOKUP(B187,'Facility List'!$B$2:$E$156,3,0)</f>
        <v>Region 4</v>
      </c>
    </row>
    <row r="188" spans="1:6" x14ac:dyDescent="0.25">
      <c r="A188" t="s">
        <v>117</v>
      </c>
      <c r="B188" t="s">
        <v>118</v>
      </c>
      <c r="C188" t="s">
        <v>119</v>
      </c>
      <c r="D188">
        <v>2018</v>
      </c>
      <c r="E188">
        <v>957788</v>
      </c>
      <c r="F188" t="str">
        <f>VLOOKUP(B188,'Facility List'!$B$2:$E$156,3,0)</f>
        <v>Region 4</v>
      </c>
    </row>
    <row r="189" spans="1:6" x14ac:dyDescent="0.25">
      <c r="A189" t="s">
        <v>117</v>
      </c>
      <c r="B189" t="s">
        <v>118</v>
      </c>
      <c r="C189" t="s">
        <v>119</v>
      </c>
      <c r="D189">
        <v>2019</v>
      </c>
      <c r="E189">
        <v>997878</v>
      </c>
      <c r="F189" t="str">
        <f>VLOOKUP(B189,'Facility List'!$B$2:$E$156,3,0)</f>
        <v>Region 4</v>
      </c>
    </row>
    <row r="190" spans="1:6" x14ac:dyDescent="0.25">
      <c r="A190" t="s">
        <v>117</v>
      </c>
      <c r="B190" t="s">
        <v>118</v>
      </c>
      <c r="C190" t="s">
        <v>119</v>
      </c>
      <c r="D190">
        <v>2020</v>
      </c>
      <c r="E190">
        <v>631263</v>
      </c>
      <c r="F190" t="str">
        <f>VLOOKUP(B190,'Facility List'!$B$2:$E$156,3,0)</f>
        <v>Region 4</v>
      </c>
    </row>
    <row r="191" spans="1:6" x14ac:dyDescent="0.25">
      <c r="A191" t="s">
        <v>117</v>
      </c>
      <c r="B191" t="s">
        <v>118</v>
      </c>
      <c r="C191" t="s">
        <v>119</v>
      </c>
      <c r="D191">
        <v>2021</v>
      </c>
      <c r="E191">
        <v>597918</v>
      </c>
      <c r="F191" t="str">
        <f>VLOOKUP(B191,'Facility List'!$B$2:$E$156,3,0)</f>
        <v>Region 4</v>
      </c>
    </row>
    <row r="192" spans="1:6" x14ac:dyDescent="0.25">
      <c r="A192" t="s">
        <v>120</v>
      </c>
      <c r="B192" t="s">
        <v>121</v>
      </c>
      <c r="C192" t="s">
        <v>122</v>
      </c>
      <c r="D192">
        <v>2017</v>
      </c>
      <c r="E192">
        <v>88795</v>
      </c>
      <c r="F192" t="str">
        <f>VLOOKUP(B192,'Facility List'!$B$2:$E$156,3,0)</f>
        <v>Region 4</v>
      </c>
    </row>
    <row r="193" spans="1:6" x14ac:dyDescent="0.25">
      <c r="A193" t="s">
        <v>120</v>
      </c>
      <c r="B193" t="s">
        <v>121</v>
      </c>
      <c r="C193" t="s">
        <v>122</v>
      </c>
      <c r="D193">
        <v>2018</v>
      </c>
      <c r="E193">
        <v>119304</v>
      </c>
      <c r="F193" t="str">
        <f>VLOOKUP(B193,'Facility List'!$B$2:$E$156,3,0)</f>
        <v>Region 4</v>
      </c>
    </row>
    <row r="194" spans="1:6" x14ac:dyDescent="0.25">
      <c r="A194" t="s">
        <v>120</v>
      </c>
      <c r="B194" t="s">
        <v>121</v>
      </c>
      <c r="C194" t="s">
        <v>122</v>
      </c>
      <c r="D194">
        <v>2019</v>
      </c>
      <c r="E194">
        <v>108122</v>
      </c>
      <c r="F194" t="str">
        <f>VLOOKUP(B194,'Facility List'!$B$2:$E$156,3,0)</f>
        <v>Region 4</v>
      </c>
    </row>
    <row r="195" spans="1:6" x14ac:dyDescent="0.25">
      <c r="A195" t="s">
        <v>120</v>
      </c>
      <c r="B195" t="s">
        <v>121</v>
      </c>
      <c r="C195" t="s">
        <v>122</v>
      </c>
      <c r="D195">
        <v>2020</v>
      </c>
      <c r="E195">
        <v>119453</v>
      </c>
      <c r="F195" t="str">
        <f>VLOOKUP(B195,'Facility List'!$B$2:$E$156,3,0)</f>
        <v>Region 4</v>
      </c>
    </row>
    <row r="196" spans="1:6" x14ac:dyDescent="0.25">
      <c r="A196" t="s">
        <v>120</v>
      </c>
      <c r="B196" t="s">
        <v>121</v>
      </c>
      <c r="C196" t="s">
        <v>122</v>
      </c>
      <c r="D196">
        <v>2021</v>
      </c>
      <c r="E196">
        <v>143113.49</v>
      </c>
      <c r="F196" t="str">
        <f>VLOOKUP(B196,'Facility List'!$B$2:$E$156,3,0)</f>
        <v>Region 4</v>
      </c>
    </row>
    <row r="197" spans="1:6" x14ac:dyDescent="0.25">
      <c r="A197" t="s">
        <v>123</v>
      </c>
      <c r="B197" t="s">
        <v>124</v>
      </c>
      <c r="C197" t="s">
        <v>125</v>
      </c>
      <c r="D197">
        <v>2017</v>
      </c>
      <c r="E197">
        <v>144023</v>
      </c>
      <c r="F197" t="str">
        <f>VLOOKUP(B197,'Facility List'!$B$2:$E$156,3,0)</f>
        <v>Region 4</v>
      </c>
    </row>
    <row r="198" spans="1:6" x14ac:dyDescent="0.25">
      <c r="A198" t="s">
        <v>123</v>
      </c>
      <c r="B198" t="s">
        <v>124</v>
      </c>
      <c r="C198" t="s">
        <v>125</v>
      </c>
      <c r="D198">
        <v>2018</v>
      </c>
      <c r="E198">
        <v>213155</v>
      </c>
      <c r="F198" t="str">
        <f>VLOOKUP(B198,'Facility List'!$B$2:$E$156,3,0)</f>
        <v>Region 4</v>
      </c>
    </row>
    <row r="199" spans="1:6" x14ac:dyDescent="0.25">
      <c r="A199" t="s">
        <v>123</v>
      </c>
      <c r="B199" t="s">
        <v>124</v>
      </c>
      <c r="C199" t="s">
        <v>125</v>
      </c>
      <c r="D199">
        <v>2019</v>
      </c>
      <c r="E199">
        <v>169423</v>
      </c>
      <c r="F199" t="str">
        <f>VLOOKUP(B199,'Facility List'!$B$2:$E$156,3,0)</f>
        <v>Region 4</v>
      </c>
    </row>
    <row r="200" spans="1:6" x14ac:dyDescent="0.25">
      <c r="A200" t="s">
        <v>123</v>
      </c>
      <c r="B200" t="s">
        <v>124</v>
      </c>
      <c r="C200" t="s">
        <v>125</v>
      </c>
      <c r="D200">
        <v>2020</v>
      </c>
      <c r="E200">
        <v>233146</v>
      </c>
      <c r="F200" t="str">
        <f>VLOOKUP(B200,'Facility List'!$B$2:$E$156,3,0)</f>
        <v>Region 4</v>
      </c>
    </row>
    <row r="201" spans="1:6" x14ac:dyDescent="0.25">
      <c r="A201" t="s">
        <v>123</v>
      </c>
      <c r="B201" t="s">
        <v>124</v>
      </c>
      <c r="C201" t="s">
        <v>125</v>
      </c>
      <c r="D201">
        <v>2021</v>
      </c>
      <c r="E201">
        <v>270323.53000000003</v>
      </c>
      <c r="F201" t="str">
        <f>VLOOKUP(B201,'Facility List'!$B$2:$E$156,3,0)</f>
        <v>Region 4</v>
      </c>
    </row>
    <row r="202" spans="1:6" x14ac:dyDescent="0.25">
      <c r="A202" t="s">
        <v>126</v>
      </c>
      <c r="B202" t="s">
        <v>127</v>
      </c>
      <c r="C202" t="s">
        <v>128</v>
      </c>
      <c r="D202">
        <v>2017</v>
      </c>
      <c r="E202">
        <v>198848</v>
      </c>
      <c r="F202" t="str">
        <f>VLOOKUP(B202,'Facility List'!$B$2:$E$156,3,0)</f>
        <v>Region 4</v>
      </c>
    </row>
    <row r="203" spans="1:6" x14ac:dyDescent="0.25">
      <c r="A203" t="s">
        <v>126</v>
      </c>
      <c r="B203" t="s">
        <v>127</v>
      </c>
      <c r="C203" t="s">
        <v>128</v>
      </c>
      <c r="D203">
        <v>2018</v>
      </c>
      <c r="E203">
        <v>186431</v>
      </c>
      <c r="F203" t="str">
        <f>VLOOKUP(B203,'Facility List'!$B$2:$E$156,3,0)</f>
        <v>Region 4</v>
      </c>
    </row>
    <row r="204" spans="1:6" x14ac:dyDescent="0.25">
      <c r="A204" t="s">
        <v>126</v>
      </c>
      <c r="B204" t="s">
        <v>127</v>
      </c>
      <c r="C204" t="s">
        <v>128</v>
      </c>
      <c r="D204">
        <v>2019</v>
      </c>
      <c r="E204">
        <v>193189</v>
      </c>
      <c r="F204" t="str">
        <f>VLOOKUP(B204,'Facility List'!$B$2:$E$156,3,0)</f>
        <v>Region 4</v>
      </c>
    </row>
    <row r="205" spans="1:6" x14ac:dyDescent="0.25">
      <c r="A205" t="s">
        <v>126</v>
      </c>
      <c r="B205" t="s">
        <v>127</v>
      </c>
      <c r="C205" t="s">
        <v>128</v>
      </c>
      <c r="D205">
        <v>2020</v>
      </c>
      <c r="E205">
        <v>192161</v>
      </c>
      <c r="F205" t="str">
        <f>VLOOKUP(B205,'Facility List'!$B$2:$E$156,3,0)</f>
        <v>Region 4</v>
      </c>
    </row>
    <row r="206" spans="1:6" x14ac:dyDescent="0.25">
      <c r="A206" t="s">
        <v>126</v>
      </c>
      <c r="B206" t="s">
        <v>127</v>
      </c>
      <c r="C206" t="s">
        <v>128</v>
      </c>
      <c r="D206">
        <v>2021</v>
      </c>
      <c r="E206">
        <v>148147</v>
      </c>
      <c r="F206" t="str">
        <f>VLOOKUP(B206,'Facility List'!$B$2:$E$156,3,0)</f>
        <v>Region 4</v>
      </c>
    </row>
    <row r="207" spans="1:6" x14ac:dyDescent="0.25">
      <c r="A207" t="s">
        <v>129</v>
      </c>
      <c r="B207" t="s">
        <v>130</v>
      </c>
      <c r="C207" t="s">
        <v>131</v>
      </c>
      <c r="D207">
        <v>2017</v>
      </c>
      <c r="E207">
        <v>422088.15</v>
      </c>
      <c r="F207" t="str">
        <f>VLOOKUP(B207,'Facility List'!$B$2:$E$156,3,0)</f>
        <v>Region 4</v>
      </c>
    </row>
    <row r="208" spans="1:6" x14ac:dyDescent="0.25">
      <c r="A208" t="s">
        <v>129</v>
      </c>
      <c r="B208" t="s">
        <v>130</v>
      </c>
      <c r="C208" t="s">
        <v>131</v>
      </c>
      <c r="D208">
        <v>2018</v>
      </c>
      <c r="E208">
        <v>434252.81</v>
      </c>
      <c r="F208" t="str">
        <f>VLOOKUP(B208,'Facility List'!$B$2:$E$156,3,0)</f>
        <v>Region 4</v>
      </c>
    </row>
    <row r="209" spans="1:6" x14ac:dyDescent="0.25">
      <c r="A209" t="s">
        <v>129</v>
      </c>
      <c r="B209" t="s">
        <v>130</v>
      </c>
      <c r="C209" t="s">
        <v>131</v>
      </c>
      <c r="D209">
        <v>2019</v>
      </c>
      <c r="E209">
        <v>411012.6</v>
      </c>
      <c r="F209" t="str">
        <f>VLOOKUP(B209,'Facility List'!$B$2:$E$156,3,0)</f>
        <v>Region 4</v>
      </c>
    </row>
    <row r="210" spans="1:6" x14ac:dyDescent="0.25">
      <c r="A210" t="s">
        <v>129</v>
      </c>
      <c r="B210" t="s">
        <v>130</v>
      </c>
      <c r="C210" t="s">
        <v>131</v>
      </c>
      <c r="D210">
        <v>2020</v>
      </c>
      <c r="E210">
        <v>501203</v>
      </c>
      <c r="F210" t="str">
        <f>VLOOKUP(B210,'Facility List'!$B$2:$E$156,3,0)</f>
        <v>Region 4</v>
      </c>
    </row>
    <row r="211" spans="1:6" x14ac:dyDescent="0.25">
      <c r="A211" t="s">
        <v>129</v>
      </c>
      <c r="B211" t="s">
        <v>130</v>
      </c>
      <c r="C211" t="s">
        <v>131</v>
      </c>
      <c r="D211">
        <v>2021</v>
      </c>
      <c r="E211">
        <v>488439.2</v>
      </c>
      <c r="F211" t="str">
        <f>VLOOKUP(B211,'Facility List'!$B$2:$E$156,3,0)</f>
        <v>Region 4</v>
      </c>
    </row>
    <row r="212" spans="1:6" x14ac:dyDescent="0.25">
      <c r="A212" t="s">
        <v>132</v>
      </c>
      <c r="B212" t="s">
        <v>133</v>
      </c>
      <c r="C212" t="s">
        <v>134</v>
      </c>
      <c r="D212">
        <v>2017</v>
      </c>
      <c r="E212">
        <v>218994</v>
      </c>
      <c r="F212" t="str">
        <f>VLOOKUP(B212,'Facility List'!$B$2:$E$156,3,0)</f>
        <v>Region 4</v>
      </c>
    </row>
    <row r="213" spans="1:6" x14ac:dyDescent="0.25">
      <c r="A213" t="s">
        <v>132</v>
      </c>
      <c r="B213" t="s">
        <v>133</v>
      </c>
      <c r="C213" t="s">
        <v>134</v>
      </c>
      <c r="D213">
        <v>2018</v>
      </c>
      <c r="E213">
        <v>229654</v>
      </c>
      <c r="F213" t="str">
        <f>VLOOKUP(B213,'Facility List'!$B$2:$E$156,3,0)</f>
        <v>Region 4</v>
      </c>
    </row>
    <row r="214" spans="1:6" x14ac:dyDescent="0.25">
      <c r="A214" t="s">
        <v>132</v>
      </c>
      <c r="B214" t="s">
        <v>133</v>
      </c>
      <c r="C214" t="s">
        <v>134</v>
      </c>
      <c r="D214">
        <v>2019</v>
      </c>
      <c r="E214">
        <v>255000.55</v>
      </c>
      <c r="F214" t="str">
        <f>VLOOKUP(B214,'Facility List'!$B$2:$E$156,3,0)</f>
        <v>Region 4</v>
      </c>
    </row>
    <row r="215" spans="1:6" x14ac:dyDescent="0.25">
      <c r="A215" t="s">
        <v>132</v>
      </c>
      <c r="B215" t="s">
        <v>133</v>
      </c>
      <c r="C215" t="s">
        <v>134</v>
      </c>
      <c r="D215">
        <v>2020</v>
      </c>
      <c r="E215">
        <v>364644.69</v>
      </c>
      <c r="F215" t="str">
        <f>VLOOKUP(B215,'Facility List'!$B$2:$E$156,3,0)</f>
        <v>Region 4</v>
      </c>
    </row>
    <row r="216" spans="1:6" x14ac:dyDescent="0.25">
      <c r="A216" t="s">
        <v>132</v>
      </c>
      <c r="B216" t="s">
        <v>133</v>
      </c>
      <c r="C216" t="s">
        <v>134</v>
      </c>
      <c r="D216">
        <v>2021</v>
      </c>
      <c r="E216">
        <v>410768.9</v>
      </c>
      <c r="F216" t="str">
        <f>VLOOKUP(B216,'Facility List'!$B$2:$E$156,3,0)</f>
        <v>Region 4</v>
      </c>
    </row>
    <row r="217" spans="1:6" x14ac:dyDescent="0.25">
      <c r="A217" t="s">
        <v>135</v>
      </c>
      <c r="B217" t="s">
        <v>136</v>
      </c>
      <c r="C217" t="s">
        <v>137</v>
      </c>
      <c r="D217">
        <v>2017</v>
      </c>
      <c r="E217">
        <v>78557</v>
      </c>
      <c r="F217" t="str">
        <f>VLOOKUP(B217,'Facility List'!$B$2:$E$156,3,0)</f>
        <v>Region 4</v>
      </c>
    </row>
    <row r="218" spans="1:6" x14ac:dyDescent="0.25">
      <c r="A218" t="s">
        <v>135</v>
      </c>
      <c r="B218" t="s">
        <v>136</v>
      </c>
      <c r="C218" t="s">
        <v>137</v>
      </c>
      <c r="D218">
        <v>2018</v>
      </c>
      <c r="E218">
        <v>82461</v>
      </c>
      <c r="F218" t="str">
        <f>VLOOKUP(B218,'Facility List'!$B$2:$E$156,3,0)</f>
        <v>Region 4</v>
      </c>
    </row>
    <row r="219" spans="1:6" x14ac:dyDescent="0.25">
      <c r="A219" t="s">
        <v>135</v>
      </c>
      <c r="B219" t="s">
        <v>136</v>
      </c>
      <c r="C219" t="s">
        <v>137</v>
      </c>
      <c r="D219">
        <v>2019</v>
      </c>
      <c r="E219">
        <v>65954</v>
      </c>
      <c r="F219" t="str">
        <f>VLOOKUP(B219,'Facility List'!$B$2:$E$156,3,0)</f>
        <v>Region 4</v>
      </c>
    </row>
    <row r="220" spans="1:6" x14ac:dyDescent="0.25">
      <c r="A220" t="s">
        <v>135</v>
      </c>
      <c r="B220" t="s">
        <v>136</v>
      </c>
      <c r="C220" t="s">
        <v>137</v>
      </c>
      <c r="D220">
        <v>2020</v>
      </c>
      <c r="E220">
        <v>53625</v>
      </c>
      <c r="F220" t="str">
        <f>VLOOKUP(B220,'Facility List'!$B$2:$E$156,3,0)</f>
        <v>Region 4</v>
      </c>
    </row>
    <row r="221" spans="1:6" x14ac:dyDescent="0.25">
      <c r="A221" t="s">
        <v>135</v>
      </c>
      <c r="B221" t="s">
        <v>136</v>
      </c>
      <c r="C221" t="s">
        <v>137</v>
      </c>
      <c r="D221">
        <v>2021</v>
      </c>
      <c r="E221">
        <v>78183.98</v>
      </c>
      <c r="F221" t="str">
        <f>VLOOKUP(B221,'Facility List'!$B$2:$E$156,3,0)</f>
        <v>Region 4</v>
      </c>
    </row>
    <row r="222" spans="1:6" x14ac:dyDescent="0.25">
      <c r="A222" t="s">
        <v>138</v>
      </c>
      <c r="B222" t="s">
        <v>139</v>
      </c>
      <c r="C222" t="s">
        <v>140</v>
      </c>
      <c r="D222">
        <v>2017</v>
      </c>
      <c r="E222">
        <v>408994.47</v>
      </c>
      <c r="F222" t="str">
        <f>VLOOKUP(B222,'Facility List'!$B$2:$E$156,3,0)</f>
        <v>Region 4</v>
      </c>
    </row>
    <row r="223" spans="1:6" x14ac:dyDescent="0.25">
      <c r="A223" t="s">
        <v>138</v>
      </c>
      <c r="B223" t="s">
        <v>139</v>
      </c>
      <c r="C223" t="s">
        <v>140</v>
      </c>
      <c r="D223">
        <v>2018</v>
      </c>
      <c r="E223">
        <v>422661.25</v>
      </c>
      <c r="F223" t="str">
        <f>VLOOKUP(B223,'Facility List'!$B$2:$E$156,3,0)</f>
        <v>Region 4</v>
      </c>
    </row>
    <row r="224" spans="1:6" x14ac:dyDescent="0.25">
      <c r="A224" t="s">
        <v>138</v>
      </c>
      <c r="B224" t="s">
        <v>139</v>
      </c>
      <c r="C224" t="s">
        <v>140</v>
      </c>
      <c r="D224">
        <v>2019</v>
      </c>
      <c r="E224">
        <v>444502.86</v>
      </c>
      <c r="F224" t="str">
        <f>VLOOKUP(B224,'Facility List'!$B$2:$E$156,3,0)</f>
        <v>Region 4</v>
      </c>
    </row>
    <row r="225" spans="1:6" x14ac:dyDescent="0.25">
      <c r="A225" t="s">
        <v>138</v>
      </c>
      <c r="B225" t="s">
        <v>139</v>
      </c>
      <c r="C225" t="s">
        <v>140</v>
      </c>
      <c r="D225">
        <v>2020</v>
      </c>
      <c r="E225">
        <v>494673.78</v>
      </c>
      <c r="F225" t="str">
        <f>VLOOKUP(B225,'Facility List'!$B$2:$E$156,3,0)</f>
        <v>Region 4</v>
      </c>
    </row>
    <row r="226" spans="1:6" x14ac:dyDescent="0.25">
      <c r="A226" t="s">
        <v>138</v>
      </c>
      <c r="B226" t="s">
        <v>139</v>
      </c>
      <c r="C226" t="s">
        <v>140</v>
      </c>
      <c r="D226">
        <v>2021</v>
      </c>
      <c r="E226">
        <v>491047.43</v>
      </c>
      <c r="F226" t="str">
        <f>VLOOKUP(B226,'Facility List'!$B$2:$E$156,3,0)</f>
        <v>Region 4</v>
      </c>
    </row>
    <row r="227" spans="1:6" x14ac:dyDescent="0.25">
      <c r="A227" t="s">
        <v>141</v>
      </c>
      <c r="B227" t="s">
        <v>142</v>
      </c>
      <c r="C227" t="s">
        <v>143</v>
      </c>
      <c r="D227">
        <v>2017</v>
      </c>
      <c r="E227">
        <v>379556</v>
      </c>
      <c r="F227" t="str">
        <f>VLOOKUP(B227,'Facility List'!$B$2:$E$156,3,0)</f>
        <v>Region 4</v>
      </c>
    </row>
    <row r="228" spans="1:6" x14ac:dyDescent="0.25">
      <c r="A228" t="s">
        <v>141</v>
      </c>
      <c r="B228" t="s">
        <v>142</v>
      </c>
      <c r="C228" t="s">
        <v>143</v>
      </c>
      <c r="D228">
        <v>2018</v>
      </c>
      <c r="E228">
        <v>463634</v>
      </c>
      <c r="F228" t="str">
        <f>VLOOKUP(B228,'Facility List'!$B$2:$E$156,3,0)</f>
        <v>Region 4</v>
      </c>
    </row>
    <row r="229" spans="1:6" x14ac:dyDescent="0.25">
      <c r="A229" t="s">
        <v>141</v>
      </c>
      <c r="B229" t="s">
        <v>142</v>
      </c>
      <c r="C229" t="s">
        <v>143</v>
      </c>
      <c r="D229">
        <v>2019</v>
      </c>
      <c r="E229">
        <v>617648</v>
      </c>
      <c r="F229" t="str">
        <f>VLOOKUP(B229,'Facility List'!$B$2:$E$156,3,0)</f>
        <v>Region 4</v>
      </c>
    </row>
    <row r="230" spans="1:6" x14ac:dyDescent="0.25">
      <c r="A230" t="s">
        <v>141</v>
      </c>
      <c r="B230" t="s">
        <v>142</v>
      </c>
      <c r="C230" t="s">
        <v>143</v>
      </c>
      <c r="D230">
        <v>2020</v>
      </c>
      <c r="E230">
        <v>508667</v>
      </c>
      <c r="F230" t="str">
        <f>VLOOKUP(B230,'Facility List'!$B$2:$E$156,3,0)</f>
        <v>Region 4</v>
      </c>
    </row>
    <row r="231" spans="1:6" x14ac:dyDescent="0.25">
      <c r="A231" t="s">
        <v>141</v>
      </c>
      <c r="B231" t="s">
        <v>142</v>
      </c>
      <c r="C231" t="s">
        <v>143</v>
      </c>
      <c r="D231">
        <v>2021</v>
      </c>
      <c r="E231">
        <v>502917.76</v>
      </c>
      <c r="F231" t="str">
        <f>VLOOKUP(B231,'Facility List'!$B$2:$E$156,3,0)</f>
        <v>Region 4</v>
      </c>
    </row>
    <row r="232" spans="1:6" x14ac:dyDescent="0.25">
      <c r="A232" t="s">
        <v>144</v>
      </c>
      <c r="B232" t="s">
        <v>145</v>
      </c>
      <c r="C232" t="s">
        <v>146</v>
      </c>
      <c r="D232">
        <v>2017</v>
      </c>
      <c r="E232">
        <v>100923</v>
      </c>
      <c r="F232" t="str">
        <f>VLOOKUP(B232,'Facility List'!$B$2:$E$156,3,0)</f>
        <v>Region 4</v>
      </c>
    </row>
    <row r="233" spans="1:6" x14ac:dyDescent="0.25">
      <c r="A233" t="s">
        <v>144</v>
      </c>
      <c r="B233" t="s">
        <v>145</v>
      </c>
      <c r="C233" t="s">
        <v>146</v>
      </c>
      <c r="D233">
        <v>2018</v>
      </c>
      <c r="E233">
        <v>104986</v>
      </c>
      <c r="F233" t="str">
        <f>VLOOKUP(B233,'Facility List'!$B$2:$E$156,3,0)</f>
        <v>Region 4</v>
      </c>
    </row>
    <row r="234" spans="1:6" x14ac:dyDescent="0.25">
      <c r="A234" t="s">
        <v>144</v>
      </c>
      <c r="B234" t="s">
        <v>145</v>
      </c>
      <c r="C234" t="s">
        <v>146</v>
      </c>
      <c r="D234">
        <v>2019</v>
      </c>
      <c r="E234">
        <v>104696</v>
      </c>
      <c r="F234" t="str">
        <f>VLOOKUP(B234,'Facility List'!$B$2:$E$156,3,0)</f>
        <v>Region 4</v>
      </c>
    </row>
    <row r="235" spans="1:6" x14ac:dyDescent="0.25">
      <c r="A235" t="s">
        <v>144</v>
      </c>
      <c r="B235" t="s">
        <v>145</v>
      </c>
      <c r="C235" t="s">
        <v>146</v>
      </c>
      <c r="D235">
        <v>2020</v>
      </c>
      <c r="E235">
        <v>99809</v>
      </c>
      <c r="F235" t="str">
        <f>VLOOKUP(B235,'Facility List'!$B$2:$E$156,3,0)</f>
        <v>Region 4</v>
      </c>
    </row>
    <row r="236" spans="1:6" x14ac:dyDescent="0.25">
      <c r="A236" t="s">
        <v>144</v>
      </c>
      <c r="B236" t="s">
        <v>145</v>
      </c>
      <c r="C236" t="s">
        <v>146</v>
      </c>
      <c r="D236">
        <v>2021</v>
      </c>
      <c r="E236">
        <v>105376</v>
      </c>
      <c r="F236" t="str">
        <f>VLOOKUP(B236,'Facility List'!$B$2:$E$156,3,0)</f>
        <v>Region 4</v>
      </c>
    </row>
    <row r="237" spans="1:6" x14ac:dyDescent="0.25">
      <c r="A237" t="s">
        <v>147</v>
      </c>
      <c r="B237" t="s">
        <v>148</v>
      </c>
      <c r="C237" t="s">
        <v>149</v>
      </c>
      <c r="D237">
        <v>2017</v>
      </c>
      <c r="E237">
        <v>150372</v>
      </c>
      <c r="F237" t="str">
        <f>VLOOKUP(B237,'Facility List'!$B$2:$E$156,3,0)</f>
        <v>Region 4</v>
      </c>
    </row>
    <row r="238" spans="1:6" x14ac:dyDescent="0.25">
      <c r="A238" t="s">
        <v>147</v>
      </c>
      <c r="B238" t="s">
        <v>148</v>
      </c>
      <c r="C238" t="s">
        <v>149</v>
      </c>
      <c r="D238">
        <v>2018</v>
      </c>
      <c r="E238">
        <v>183787</v>
      </c>
      <c r="F238" t="str">
        <f>VLOOKUP(B238,'Facility List'!$B$2:$E$156,3,0)</f>
        <v>Region 4</v>
      </c>
    </row>
    <row r="239" spans="1:6" x14ac:dyDescent="0.25">
      <c r="A239" t="s">
        <v>147</v>
      </c>
      <c r="B239" t="s">
        <v>148</v>
      </c>
      <c r="C239" t="s">
        <v>149</v>
      </c>
      <c r="D239">
        <v>2019</v>
      </c>
      <c r="E239">
        <v>214044</v>
      </c>
      <c r="F239" t="str">
        <f>VLOOKUP(B239,'Facility List'!$B$2:$E$156,3,0)</f>
        <v>Region 4</v>
      </c>
    </row>
    <row r="240" spans="1:6" x14ac:dyDescent="0.25">
      <c r="A240" t="s">
        <v>147</v>
      </c>
      <c r="B240" t="s">
        <v>148</v>
      </c>
      <c r="C240" t="s">
        <v>149</v>
      </c>
      <c r="D240">
        <v>2020</v>
      </c>
      <c r="E240">
        <v>221867</v>
      </c>
      <c r="F240" t="str">
        <f>VLOOKUP(B240,'Facility List'!$B$2:$E$156,3,0)</f>
        <v>Region 4</v>
      </c>
    </row>
    <row r="241" spans="1:6" x14ac:dyDescent="0.25">
      <c r="A241" t="s">
        <v>147</v>
      </c>
      <c r="B241" t="s">
        <v>148</v>
      </c>
      <c r="C241" t="s">
        <v>149</v>
      </c>
      <c r="D241">
        <v>2021</v>
      </c>
      <c r="E241">
        <v>226885</v>
      </c>
      <c r="F241" t="str">
        <f>VLOOKUP(B241,'Facility List'!$B$2:$E$156,3,0)</f>
        <v>Region 4</v>
      </c>
    </row>
    <row r="242" spans="1:6" x14ac:dyDescent="0.25">
      <c r="A242" t="s">
        <v>150</v>
      </c>
      <c r="B242" s="1" t="s">
        <v>151</v>
      </c>
      <c r="C242" t="s">
        <v>152</v>
      </c>
      <c r="D242">
        <v>2017</v>
      </c>
      <c r="E242">
        <v>671677.84</v>
      </c>
      <c r="F242" t="str">
        <f>VLOOKUP(B242,'Facility List'!$B$2:$E$156,3,0)</f>
        <v>Region 4</v>
      </c>
    </row>
    <row r="243" spans="1:6" x14ac:dyDescent="0.25">
      <c r="A243" t="s">
        <v>150</v>
      </c>
      <c r="B243" s="1" t="s">
        <v>151</v>
      </c>
      <c r="C243" t="s">
        <v>152</v>
      </c>
      <c r="D243">
        <v>2018</v>
      </c>
      <c r="E243">
        <v>680529</v>
      </c>
      <c r="F243" t="str">
        <f>VLOOKUP(B243,'Facility List'!$B$2:$E$156,3,0)</f>
        <v>Region 4</v>
      </c>
    </row>
    <row r="244" spans="1:6" x14ac:dyDescent="0.25">
      <c r="A244" t="s">
        <v>150</v>
      </c>
      <c r="B244" s="1" t="s">
        <v>151</v>
      </c>
      <c r="C244" t="s">
        <v>152</v>
      </c>
      <c r="D244">
        <v>2019</v>
      </c>
      <c r="E244">
        <v>686830.98</v>
      </c>
      <c r="F244" t="str">
        <f>VLOOKUP(B244,'Facility List'!$B$2:$E$156,3,0)</f>
        <v>Region 4</v>
      </c>
    </row>
    <row r="245" spans="1:6" x14ac:dyDescent="0.25">
      <c r="A245" t="s">
        <v>150</v>
      </c>
      <c r="B245" s="1" t="s">
        <v>151</v>
      </c>
      <c r="C245" t="s">
        <v>152</v>
      </c>
      <c r="D245">
        <v>2020</v>
      </c>
      <c r="E245">
        <v>664475.59</v>
      </c>
      <c r="F245" t="str">
        <f>VLOOKUP(B245,'Facility List'!$B$2:$E$156,3,0)</f>
        <v>Region 4</v>
      </c>
    </row>
    <row r="246" spans="1:6" x14ac:dyDescent="0.25">
      <c r="A246" t="s">
        <v>150</v>
      </c>
      <c r="B246" s="1" t="s">
        <v>151</v>
      </c>
      <c r="C246" t="s">
        <v>152</v>
      </c>
      <c r="D246">
        <v>2021</v>
      </c>
      <c r="E246">
        <v>705878.85</v>
      </c>
      <c r="F246" t="str">
        <f>VLOOKUP(B246,'Facility List'!$B$2:$E$156,3,0)</f>
        <v>Region 4</v>
      </c>
    </row>
    <row r="247" spans="1:6" x14ac:dyDescent="0.25">
      <c r="A247" t="s">
        <v>153</v>
      </c>
      <c r="B247" t="s">
        <v>154</v>
      </c>
      <c r="C247" t="s">
        <v>155</v>
      </c>
      <c r="D247">
        <v>2017</v>
      </c>
      <c r="E247">
        <v>876122</v>
      </c>
      <c r="F247" t="str">
        <f>VLOOKUP(B247,'Facility List'!$B$2:$E$156,3,0)</f>
        <v>Region 4</v>
      </c>
    </row>
    <row r="248" spans="1:6" x14ac:dyDescent="0.25">
      <c r="A248" t="s">
        <v>153</v>
      </c>
      <c r="B248" t="s">
        <v>154</v>
      </c>
      <c r="C248" t="s">
        <v>155</v>
      </c>
      <c r="D248">
        <v>2018</v>
      </c>
      <c r="E248">
        <v>784118</v>
      </c>
      <c r="F248" t="str">
        <f>VLOOKUP(B248,'Facility List'!$B$2:$E$156,3,0)</f>
        <v>Region 4</v>
      </c>
    </row>
    <row r="249" spans="1:6" x14ac:dyDescent="0.25">
      <c r="A249" t="s">
        <v>153</v>
      </c>
      <c r="B249" t="s">
        <v>154</v>
      </c>
      <c r="C249" t="s">
        <v>155</v>
      </c>
      <c r="D249">
        <v>2019</v>
      </c>
      <c r="E249">
        <v>786287</v>
      </c>
      <c r="F249" t="str">
        <f>VLOOKUP(B249,'Facility List'!$B$2:$E$156,3,0)</f>
        <v>Region 4</v>
      </c>
    </row>
    <row r="250" spans="1:6" x14ac:dyDescent="0.25">
      <c r="A250" t="s">
        <v>153</v>
      </c>
      <c r="B250" t="s">
        <v>154</v>
      </c>
      <c r="C250" t="s">
        <v>155</v>
      </c>
      <c r="D250">
        <v>2020</v>
      </c>
      <c r="E250">
        <v>749957</v>
      </c>
      <c r="F250" t="str">
        <f>VLOOKUP(B250,'Facility List'!$B$2:$E$156,3,0)</f>
        <v>Region 4</v>
      </c>
    </row>
    <row r="251" spans="1:6" x14ac:dyDescent="0.25">
      <c r="A251" t="s">
        <v>153</v>
      </c>
      <c r="B251" t="s">
        <v>154</v>
      </c>
      <c r="C251" t="s">
        <v>155</v>
      </c>
      <c r="D251">
        <v>2021</v>
      </c>
      <c r="E251">
        <v>722505.87</v>
      </c>
      <c r="F251" t="str">
        <f>VLOOKUP(B251,'Facility List'!$B$2:$E$156,3,0)</f>
        <v>Region 4</v>
      </c>
    </row>
    <row r="252" spans="1:6" x14ac:dyDescent="0.25">
      <c r="A252" t="s">
        <v>156</v>
      </c>
      <c r="B252" t="s">
        <v>157</v>
      </c>
      <c r="C252" t="s">
        <v>158</v>
      </c>
      <c r="D252">
        <v>2017</v>
      </c>
      <c r="E252">
        <v>903486</v>
      </c>
      <c r="F252" t="str">
        <f>VLOOKUP(B252,'Facility List'!$B$2:$E$156,3,0)</f>
        <v>Region 4</v>
      </c>
    </row>
    <row r="253" spans="1:6" x14ac:dyDescent="0.25">
      <c r="A253" t="s">
        <v>156</v>
      </c>
      <c r="B253" t="s">
        <v>157</v>
      </c>
      <c r="C253" t="s">
        <v>158</v>
      </c>
      <c r="D253">
        <v>2018</v>
      </c>
      <c r="E253">
        <v>847077</v>
      </c>
      <c r="F253" t="str">
        <f>VLOOKUP(B253,'Facility List'!$B$2:$E$156,3,0)</f>
        <v>Region 4</v>
      </c>
    </row>
    <row r="254" spans="1:6" x14ac:dyDescent="0.25">
      <c r="A254" t="s">
        <v>156</v>
      </c>
      <c r="B254" t="s">
        <v>157</v>
      </c>
      <c r="C254" t="s">
        <v>158</v>
      </c>
      <c r="D254">
        <v>2019</v>
      </c>
      <c r="E254">
        <v>936891</v>
      </c>
      <c r="F254" t="str">
        <f>VLOOKUP(B254,'Facility List'!$B$2:$E$156,3,0)</f>
        <v>Region 4</v>
      </c>
    </row>
    <row r="255" spans="1:6" x14ac:dyDescent="0.25">
      <c r="A255" t="s">
        <v>156</v>
      </c>
      <c r="B255" t="s">
        <v>157</v>
      </c>
      <c r="C255" t="s">
        <v>158</v>
      </c>
      <c r="D255">
        <v>2020</v>
      </c>
      <c r="E255">
        <v>1045203</v>
      </c>
      <c r="F255" t="str">
        <f>VLOOKUP(B255,'Facility List'!$B$2:$E$156,3,0)</f>
        <v>Region 4</v>
      </c>
    </row>
    <row r="256" spans="1:6" x14ac:dyDescent="0.25">
      <c r="A256" t="s">
        <v>156</v>
      </c>
      <c r="B256" t="s">
        <v>157</v>
      </c>
      <c r="C256" t="s">
        <v>158</v>
      </c>
      <c r="D256">
        <v>2021</v>
      </c>
      <c r="E256">
        <v>1106976</v>
      </c>
      <c r="F256" t="str">
        <f>VLOOKUP(B256,'Facility List'!$B$2:$E$156,3,0)</f>
        <v>Region 4</v>
      </c>
    </row>
    <row r="257" spans="1:6" x14ac:dyDescent="0.25">
      <c r="A257" t="s">
        <v>159</v>
      </c>
      <c r="B257" t="s">
        <v>160</v>
      </c>
      <c r="C257" t="s">
        <v>161</v>
      </c>
      <c r="D257">
        <v>2017</v>
      </c>
      <c r="E257">
        <v>140762.56</v>
      </c>
      <c r="F257" t="str">
        <f>VLOOKUP(B257,'Facility List'!$B$2:$E$156,3,0)</f>
        <v>Region 4</v>
      </c>
    </row>
    <row r="258" spans="1:6" x14ac:dyDescent="0.25">
      <c r="A258" t="s">
        <v>159</v>
      </c>
      <c r="B258" t="s">
        <v>160</v>
      </c>
      <c r="C258" t="s">
        <v>161</v>
      </c>
      <c r="D258">
        <v>2018</v>
      </c>
      <c r="E258">
        <v>137360.88</v>
      </c>
      <c r="F258" t="str">
        <f>VLOOKUP(B258,'Facility List'!$B$2:$E$156,3,0)</f>
        <v>Region 4</v>
      </c>
    </row>
    <row r="259" spans="1:6" x14ac:dyDescent="0.25">
      <c r="A259" t="s">
        <v>159</v>
      </c>
      <c r="B259" t="s">
        <v>160</v>
      </c>
      <c r="C259" t="s">
        <v>161</v>
      </c>
      <c r="D259">
        <v>2019</v>
      </c>
      <c r="E259">
        <v>141025.69</v>
      </c>
      <c r="F259" t="str">
        <f>VLOOKUP(B259,'Facility List'!$B$2:$E$156,3,0)</f>
        <v>Region 4</v>
      </c>
    </row>
    <row r="260" spans="1:6" x14ac:dyDescent="0.25">
      <c r="A260" t="s">
        <v>159</v>
      </c>
      <c r="B260" t="s">
        <v>160</v>
      </c>
      <c r="C260" t="s">
        <v>161</v>
      </c>
      <c r="D260">
        <v>2020</v>
      </c>
      <c r="E260">
        <v>110135.37</v>
      </c>
      <c r="F260" t="str">
        <f>VLOOKUP(B260,'Facility List'!$B$2:$E$156,3,0)</f>
        <v>Region 4</v>
      </c>
    </row>
    <row r="261" spans="1:6" x14ac:dyDescent="0.25">
      <c r="A261" t="s">
        <v>159</v>
      </c>
      <c r="B261" t="s">
        <v>160</v>
      </c>
      <c r="C261" t="s">
        <v>161</v>
      </c>
      <c r="D261">
        <v>2021</v>
      </c>
      <c r="E261">
        <v>86380.88</v>
      </c>
      <c r="F261" t="str">
        <f>VLOOKUP(B261,'Facility List'!$B$2:$E$156,3,0)</f>
        <v>Region 4</v>
      </c>
    </row>
    <row r="262" spans="1:6" x14ac:dyDescent="0.25">
      <c r="A262" t="s">
        <v>162</v>
      </c>
      <c r="B262" t="s">
        <v>163</v>
      </c>
      <c r="C262" t="s">
        <v>164</v>
      </c>
      <c r="D262">
        <v>2017</v>
      </c>
      <c r="E262">
        <v>35648</v>
      </c>
      <c r="F262" t="str">
        <f>VLOOKUP(B262,'Facility List'!$B$2:$E$156,3,0)</f>
        <v>Region 4</v>
      </c>
    </row>
    <row r="263" spans="1:6" x14ac:dyDescent="0.25">
      <c r="A263" t="s">
        <v>162</v>
      </c>
      <c r="B263" t="s">
        <v>163</v>
      </c>
      <c r="C263" t="s">
        <v>164</v>
      </c>
      <c r="D263">
        <v>2018</v>
      </c>
      <c r="E263">
        <v>12163</v>
      </c>
      <c r="F263" t="str">
        <f>VLOOKUP(B263,'Facility List'!$B$2:$E$156,3,0)</f>
        <v>Region 4</v>
      </c>
    </row>
    <row r="264" spans="1:6" x14ac:dyDescent="0.25">
      <c r="A264" t="s">
        <v>162</v>
      </c>
      <c r="B264" t="s">
        <v>163</v>
      </c>
      <c r="C264" t="s">
        <v>164</v>
      </c>
      <c r="D264">
        <v>2019</v>
      </c>
      <c r="F264" t="str">
        <f>VLOOKUP(B264,'Facility List'!$B$2:$E$156,3,0)</f>
        <v>Region 4</v>
      </c>
    </row>
    <row r="265" spans="1:6" x14ac:dyDescent="0.25">
      <c r="A265" t="s">
        <v>162</v>
      </c>
      <c r="B265" t="s">
        <v>163</v>
      </c>
      <c r="C265" t="s">
        <v>164</v>
      </c>
      <c r="D265">
        <v>2020</v>
      </c>
      <c r="E265">
        <v>47389</v>
      </c>
      <c r="F265" t="str">
        <f>VLOOKUP(B265,'Facility List'!$B$2:$E$156,3,0)</f>
        <v>Region 4</v>
      </c>
    </row>
    <row r="266" spans="1:6" x14ac:dyDescent="0.25">
      <c r="A266" t="s">
        <v>162</v>
      </c>
      <c r="B266" t="s">
        <v>163</v>
      </c>
      <c r="C266" t="s">
        <v>164</v>
      </c>
      <c r="D266">
        <v>2021</v>
      </c>
      <c r="E266">
        <v>74896</v>
      </c>
      <c r="F266" t="str">
        <f>VLOOKUP(B266,'Facility List'!$B$2:$E$156,3,0)</f>
        <v>Region 4</v>
      </c>
    </row>
    <row r="267" spans="1:6" x14ac:dyDescent="0.25">
      <c r="A267" t="s">
        <v>165</v>
      </c>
      <c r="B267" t="s">
        <v>166</v>
      </c>
      <c r="C267" t="s">
        <v>167</v>
      </c>
      <c r="D267">
        <v>2017</v>
      </c>
      <c r="E267">
        <v>1578023.66</v>
      </c>
      <c r="F267" t="str">
        <f>VLOOKUP(B267,'Facility List'!$B$2:$E$156,3,0)</f>
        <v>Region 4</v>
      </c>
    </row>
    <row r="268" spans="1:6" x14ac:dyDescent="0.25">
      <c r="A268" t="s">
        <v>165</v>
      </c>
      <c r="B268" t="s">
        <v>166</v>
      </c>
      <c r="C268" t="s">
        <v>167</v>
      </c>
      <c r="D268">
        <v>2018</v>
      </c>
      <c r="E268">
        <v>1355217.1</v>
      </c>
      <c r="F268" t="str">
        <f>VLOOKUP(B268,'Facility List'!$B$2:$E$156,3,0)</f>
        <v>Region 4</v>
      </c>
    </row>
    <row r="269" spans="1:6" x14ac:dyDescent="0.25">
      <c r="A269" t="s">
        <v>165</v>
      </c>
      <c r="B269" t="s">
        <v>166</v>
      </c>
      <c r="C269" t="s">
        <v>167</v>
      </c>
      <c r="D269">
        <v>2019</v>
      </c>
      <c r="E269">
        <v>1390834.74</v>
      </c>
      <c r="F269" t="str">
        <f>VLOOKUP(B269,'Facility List'!$B$2:$E$156,3,0)</f>
        <v>Region 4</v>
      </c>
    </row>
    <row r="270" spans="1:6" x14ac:dyDescent="0.25">
      <c r="A270" t="s">
        <v>165</v>
      </c>
      <c r="B270" t="s">
        <v>166</v>
      </c>
      <c r="C270" t="s">
        <v>167</v>
      </c>
      <c r="D270">
        <v>2020</v>
      </c>
      <c r="E270">
        <v>1389898.37</v>
      </c>
      <c r="F270" t="str">
        <f>VLOOKUP(B270,'Facility List'!$B$2:$E$156,3,0)</f>
        <v>Region 4</v>
      </c>
    </row>
    <row r="271" spans="1:6" x14ac:dyDescent="0.25">
      <c r="A271" t="s">
        <v>165</v>
      </c>
      <c r="B271" t="s">
        <v>166</v>
      </c>
      <c r="C271" t="s">
        <v>167</v>
      </c>
      <c r="D271">
        <v>2021</v>
      </c>
      <c r="E271">
        <v>1294832</v>
      </c>
      <c r="F271" t="str">
        <f>VLOOKUP(B271,'Facility List'!$B$2:$E$156,3,0)</f>
        <v>Region 4</v>
      </c>
    </row>
    <row r="272" spans="1:6" x14ac:dyDescent="0.25">
      <c r="A272" t="s">
        <v>168</v>
      </c>
      <c r="B272" t="s">
        <v>169</v>
      </c>
      <c r="C272" t="s">
        <v>170</v>
      </c>
      <c r="D272">
        <v>2017</v>
      </c>
      <c r="E272">
        <v>220204.09</v>
      </c>
      <c r="F272" t="str">
        <f>VLOOKUP(B272,'Facility List'!$B$2:$E$156,3,0)</f>
        <v>Region 4</v>
      </c>
    </row>
    <row r="273" spans="1:6" x14ac:dyDescent="0.25">
      <c r="A273" t="s">
        <v>168</v>
      </c>
      <c r="B273" t="s">
        <v>169</v>
      </c>
      <c r="C273" t="s">
        <v>170</v>
      </c>
      <c r="D273">
        <v>2018</v>
      </c>
      <c r="E273">
        <v>220993.91</v>
      </c>
      <c r="F273" t="str">
        <f>VLOOKUP(B273,'Facility List'!$B$2:$E$156,3,0)</f>
        <v>Region 4</v>
      </c>
    </row>
    <row r="274" spans="1:6" x14ac:dyDescent="0.25">
      <c r="A274" t="s">
        <v>168</v>
      </c>
      <c r="B274" t="s">
        <v>169</v>
      </c>
      <c r="C274" t="s">
        <v>170</v>
      </c>
      <c r="D274">
        <v>2019</v>
      </c>
      <c r="E274">
        <v>244008.63</v>
      </c>
      <c r="F274" t="str">
        <f>VLOOKUP(B274,'Facility List'!$B$2:$E$156,3,0)</f>
        <v>Region 4</v>
      </c>
    </row>
    <row r="275" spans="1:6" x14ac:dyDescent="0.25">
      <c r="A275" t="s">
        <v>168</v>
      </c>
      <c r="B275" t="s">
        <v>169</v>
      </c>
      <c r="C275" t="s">
        <v>170</v>
      </c>
      <c r="D275">
        <v>2020</v>
      </c>
      <c r="E275">
        <v>241280.75</v>
      </c>
      <c r="F275" t="str">
        <f>VLOOKUP(B275,'Facility List'!$B$2:$E$156,3,0)</f>
        <v>Region 4</v>
      </c>
    </row>
    <row r="276" spans="1:6" x14ac:dyDescent="0.25">
      <c r="A276" t="s">
        <v>168</v>
      </c>
      <c r="B276" t="s">
        <v>169</v>
      </c>
      <c r="C276" t="s">
        <v>170</v>
      </c>
      <c r="D276">
        <v>2021</v>
      </c>
      <c r="E276">
        <v>261304.18</v>
      </c>
      <c r="F276" t="str">
        <f>VLOOKUP(B276,'Facility List'!$B$2:$E$156,3,0)</f>
        <v>Region 4</v>
      </c>
    </row>
    <row r="277" spans="1:6" x14ac:dyDescent="0.25">
      <c r="A277" t="s">
        <v>171</v>
      </c>
      <c r="B277" t="s">
        <v>172</v>
      </c>
      <c r="C277" t="s">
        <v>173</v>
      </c>
      <c r="D277">
        <v>2017</v>
      </c>
      <c r="E277">
        <v>134423.37</v>
      </c>
      <c r="F277" t="str">
        <f>VLOOKUP(B277,'Facility List'!$B$2:$E$156,3,0)</f>
        <v>Region 5</v>
      </c>
    </row>
    <row r="278" spans="1:6" x14ac:dyDescent="0.25">
      <c r="A278" t="s">
        <v>171</v>
      </c>
      <c r="B278" t="s">
        <v>172</v>
      </c>
      <c r="C278" t="s">
        <v>173</v>
      </c>
      <c r="D278">
        <v>2018</v>
      </c>
      <c r="E278">
        <v>140385.47</v>
      </c>
      <c r="F278" t="str">
        <f>VLOOKUP(B278,'Facility List'!$B$2:$E$156,3,0)</f>
        <v>Region 5</v>
      </c>
    </row>
    <row r="279" spans="1:6" x14ac:dyDescent="0.25">
      <c r="A279" t="s">
        <v>171</v>
      </c>
      <c r="B279" t="s">
        <v>172</v>
      </c>
      <c r="C279" t="s">
        <v>173</v>
      </c>
      <c r="D279">
        <v>2019</v>
      </c>
      <c r="E279">
        <v>134813.06</v>
      </c>
      <c r="F279" t="str">
        <f>VLOOKUP(B279,'Facility List'!$B$2:$E$156,3,0)</f>
        <v>Region 5</v>
      </c>
    </row>
    <row r="280" spans="1:6" x14ac:dyDescent="0.25">
      <c r="A280" t="s">
        <v>171</v>
      </c>
      <c r="B280" t="s">
        <v>172</v>
      </c>
      <c r="C280" t="s">
        <v>173</v>
      </c>
      <c r="D280">
        <v>2020</v>
      </c>
      <c r="E280">
        <v>141674.95000000001</v>
      </c>
      <c r="F280" t="str">
        <f>VLOOKUP(B280,'Facility List'!$B$2:$E$156,3,0)</f>
        <v>Region 5</v>
      </c>
    </row>
    <row r="281" spans="1:6" x14ac:dyDescent="0.25">
      <c r="A281" t="s">
        <v>171</v>
      </c>
      <c r="B281" t="s">
        <v>172</v>
      </c>
      <c r="C281" t="s">
        <v>173</v>
      </c>
      <c r="D281">
        <v>2021</v>
      </c>
      <c r="E281">
        <v>138110.09</v>
      </c>
      <c r="F281" t="str">
        <f>VLOOKUP(B281,'Facility List'!$B$2:$E$156,3,0)</f>
        <v>Region 5</v>
      </c>
    </row>
    <row r="282" spans="1:6" x14ac:dyDescent="0.25">
      <c r="A282" t="s">
        <v>174</v>
      </c>
      <c r="B282" t="s">
        <v>175</v>
      </c>
      <c r="C282" t="s">
        <v>176</v>
      </c>
      <c r="D282">
        <v>2017</v>
      </c>
      <c r="E282">
        <v>123678</v>
      </c>
      <c r="F282" t="str">
        <f>VLOOKUP(B282,'Facility List'!$B$2:$E$156,3,0)</f>
        <v>Region 5</v>
      </c>
    </row>
    <row r="283" spans="1:6" x14ac:dyDescent="0.25">
      <c r="A283" t="s">
        <v>174</v>
      </c>
      <c r="B283" t="s">
        <v>175</v>
      </c>
      <c r="C283" t="s">
        <v>176</v>
      </c>
      <c r="D283">
        <v>2018</v>
      </c>
      <c r="E283">
        <v>133708</v>
      </c>
      <c r="F283" t="str">
        <f>VLOOKUP(B283,'Facility List'!$B$2:$E$156,3,0)</f>
        <v>Region 5</v>
      </c>
    </row>
    <row r="284" spans="1:6" x14ac:dyDescent="0.25">
      <c r="A284" t="s">
        <v>174</v>
      </c>
      <c r="B284" t="s">
        <v>175</v>
      </c>
      <c r="C284" t="s">
        <v>176</v>
      </c>
      <c r="D284">
        <v>2019</v>
      </c>
      <c r="E284">
        <v>140059</v>
      </c>
      <c r="F284" t="str">
        <f>VLOOKUP(B284,'Facility List'!$B$2:$E$156,3,0)</f>
        <v>Region 5</v>
      </c>
    </row>
    <row r="285" spans="1:6" x14ac:dyDescent="0.25">
      <c r="A285" t="s">
        <v>174</v>
      </c>
      <c r="B285" t="s">
        <v>175</v>
      </c>
      <c r="C285" t="s">
        <v>176</v>
      </c>
      <c r="D285">
        <v>2020</v>
      </c>
      <c r="E285">
        <v>149711</v>
      </c>
      <c r="F285" t="str">
        <f>VLOOKUP(B285,'Facility List'!$B$2:$E$156,3,0)</f>
        <v>Region 5</v>
      </c>
    </row>
    <row r="286" spans="1:6" x14ac:dyDescent="0.25">
      <c r="A286" t="s">
        <v>174</v>
      </c>
      <c r="B286" t="s">
        <v>175</v>
      </c>
      <c r="C286" t="s">
        <v>176</v>
      </c>
      <c r="D286">
        <v>2021</v>
      </c>
      <c r="E286">
        <v>165133.70000000001</v>
      </c>
      <c r="F286" t="str">
        <f>VLOOKUP(B286,'Facility List'!$B$2:$E$156,3,0)</f>
        <v>Region 5</v>
      </c>
    </row>
    <row r="287" spans="1:6" x14ac:dyDescent="0.25">
      <c r="A287" t="s">
        <v>177</v>
      </c>
      <c r="B287" t="s">
        <v>178</v>
      </c>
      <c r="C287" t="s">
        <v>179</v>
      </c>
      <c r="D287">
        <v>2017</v>
      </c>
      <c r="E287">
        <v>78612</v>
      </c>
      <c r="F287" t="str">
        <f>VLOOKUP(B287,'Facility List'!$B$2:$E$156,3,0)</f>
        <v>Region 5</v>
      </c>
    </row>
    <row r="288" spans="1:6" x14ac:dyDescent="0.25">
      <c r="A288" t="s">
        <v>177</v>
      </c>
      <c r="B288" t="s">
        <v>178</v>
      </c>
      <c r="C288" t="s">
        <v>179</v>
      </c>
      <c r="D288">
        <v>2018</v>
      </c>
      <c r="E288">
        <v>75327</v>
      </c>
      <c r="F288" t="str">
        <f>VLOOKUP(B288,'Facility List'!$B$2:$E$156,3,0)</f>
        <v>Region 5</v>
      </c>
    </row>
    <row r="289" spans="1:6" x14ac:dyDescent="0.25">
      <c r="A289" t="s">
        <v>177</v>
      </c>
      <c r="B289" t="s">
        <v>178</v>
      </c>
      <c r="C289" t="s">
        <v>179</v>
      </c>
      <c r="D289">
        <v>2019</v>
      </c>
      <c r="E289">
        <v>80829</v>
      </c>
      <c r="F289" t="str">
        <f>VLOOKUP(B289,'Facility List'!$B$2:$E$156,3,0)</f>
        <v>Region 5</v>
      </c>
    </row>
    <row r="290" spans="1:6" x14ac:dyDescent="0.25">
      <c r="A290" t="s">
        <v>177</v>
      </c>
      <c r="B290" t="s">
        <v>178</v>
      </c>
      <c r="C290" t="s">
        <v>179</v>
      </c>
      <c r="D290">
        <v>2020</v>
      </c>
      <c r="E290">
        <v>89811</v>
      </c>
      <c r="F290" t="str">
        <f>VLOOKUP(B290,'Facility List'!$B$2:$E$156,3,0)</f>
        <v>Region 5</v>
      </c>
    </row>
    <row r="291" spans="1:6" x14ac:dyDescent="0.25">
      <c r="A291" t="s">
        <v>177</v>
      </c>
      <c r="B291" t="s">
        <v>178</v>
      </c>
      <c r="C291" t="s">
        <v>179</v>
      </c>
      <c r="D291">
        <v>2021</v>
      </c>
      <c r="E291">
        <v>86959.64</v>
      </c>
      <c r="F291" t="str">
        <f>VLOOKUP(B291,'Facility List'!$B$2:$E$156,3,0)</f>
        <v>Region 5</v>
      </c>
    </row>
    <row r="292" spans="1:6" x14ac:dyDescent="0.25">
      <c r="A292" t="s">
        <v>180</v>
      </c>
      <c r="B292" t="s">
        <v>181</v>
      </c>
      <c r="C292" t="s">
        <v>182</v>
      </c>
      <c r="D292">
        <v>2017</v>
      </c>
      <c r="E292">
        <v>134233</v>
      </c>
      <c r="F292" t="str">
        <f>VLOOKUP(B292,'Facility List'!$B$2:$E$156,3,0)</f>
        <v>Region 5</v>
      </c>
    </row>
    <row r="293" spans="1:6" x14ac:dyDescent="0.25">
      <c r="A293" t="s">
        <v>180</v>
      </c>
      <c r="B293" t="s">
        <v>181</v>
      </c>
      <c r="C293" t="s">
        <v>182</v>
      </c>
      <c r="D293">
        <v>2018</v>
      </c>
      <c r="E293">
        <v>142892</v>
      </c>
      <c r="F293" t="str">
        <f>VLOOKUP(B293,'Facility List'!$B$2:$E$156,3,0)</f>
        <v>Region 5</v>
      </c>
    </row>
    <row r="294" spans="1:6" x14ac:dyDescent="0.25">
      <c r="A294" t="s">
        <v>180</v>
      </c>
      <c r="B294" t="s">
        <v>181</v>
      </c>
      <c r="C294" t="s">
        <v>182</v>
      </c>
      <c r="D294">
        <v>2019</v>
      </c>
      <c r="E294">
        <v>165698</v>
      </c>
      <c r="F294" t="str">
        <f>VLOOKUP(B294,'Facility List'!$B$2:$E$156,3,0)</f>
        <v>Region 5</v>
      </c>
    </row>
    <row r="295" spans="1:6" x14ac:dyDescent="0.25">
      <c r="A295" t="s">
        <v>180</v>
      </c>
      <c r="B295" t="s">
        <v>181</v>
      </c>
      <c r="C295" t="s">
        <v>182</v>
      </c>
      <c r="D295">
        <v>2020</v>
      </c>
      <c r="E295">
        <v>144282</v>
      </c>
      <c r="F295" t="str">
        <f>VLOOKUP(B295,'Facility List'!$B$2:$E$156,3,0)</f>
        <v>Region 5</v>
      </c>
    </row>
    <row r="296" spans="1:6" x14ac:dyDescent="0.25">
      <c r="A296" t="s">
        <v>180</v>
      </c>
      <c r="B296" t="s">
        <v>181</v>
      </c>
      <c r="C296" t="s">
        <v>182</v>
      </c>
      <c r="D296">
        <v>2021</v>
      </c>
      <c r="E296">
        <v>170340.06</v>
      </c>
      <c r="F296" t="str">
        <f>VLOOKUP(B296,'Facility List'!$B$2:$E$156,3,0)</f>
        <v>Region 5</v>
      </c>
    </row>
    <row r="297" spans="1:6" x14ac:dyDescent="0.25">
      <c r="A297" t="s">
        <v>183</v>
      </c>
      <c r="B297" t="s">
        <v>184</v>
      </c>
      <c r="C297" t="s">
        <v>185</v>
      </c>
      <c r="D297">
        <v>2017</v>
      </c>
      <c r="E297">
        <v>164626</v>
      </c>
      <c r="F297" t="str">
        <f>VLOOKUP(B297,'Facility List'!$B$2:$E$156,3,0)</f>
        <v>Region 5</v>
      </c>
    </row>
    <row r="298" spans="1:6" x14ac:dyDescent="0.25">
      <c r="A298" t="s">
        <v>183</v>
      </c>
      <c r="B298" t="s">
        <v>184</v>
      </c>
      <c r="C298" t="s">
        <v>185</v>
      </c>
      <c r="D298">
        <v>2018</v>
      </c>
      <c r="E298">
        <v>170878</v>
      </c>
      <c r="F298" t="str">
        <f>VLOOKUP(B298,'Facility List'!$B$2:$E$156,3,0)</f>
        <v>Region 5</v>
      </c>
    </row>
    <row r="299" spans="1:6" x14ac:dyDescent="0.25">
      <c r="A299" t="s">
        <v>183</v>
      </c>
      <c r="B299" t="s">
        <v>184</v>
      </c>
      <c r="C299" t="s">
        <v>185</v>
      </c>
      <c r="D299">
        <v>2019</v>
      </c>
      <c r="E299">
        <v>204492</v>
      </c>
      <c r="F299" t="str">
        <f>VLOOKUP(B299,'Facility List'!$B$2:$E$156,3,0)</f>
        <v>Region 5</v>
      </c>
    </row>
    <row r="300" spans="1:6" x14ac:dyDescent="0.25">
      <c r="A300" t="s">
        <v>183</v>
      </c>
      <c r="B300" t="s">
        <v>184</v>
      </c>
      <c r="C300" t="s">
        <v>185</v>
      </c>
      <c r="D300">
        <v>2020</v>
      </c>
      <c r="E300">
        <v>227040.61</v>
      </c>
      <c r="F300" t="str">
        <f>VLOOKUP(B300,'Facility List'!$B$2:$E$156,3,0)</f>
        <v>Region 5</v>
      </c>
    </row>
    <row r="301" spans="1:6" x14ac:dyDescent="0.25">
      <c r="A301" t="s">
        <v>183</v>
      </c>
      <c r="B301" t="s">
        <v>184</v>
      </c>
      <c r="C301" t="s">
        <v>185</v>
      </c>
      <c r="D301">
        <v>2021</v>
      </c>
      <c r="E301">
        <v>231461</v>
      </c>
      <c r="F301" t="str">
        <f>VLOOKUP(B301,'Facility List'!$B$2:$E$156,3,0)</f>
        <v>Region 5</v>
      </c>
    </row>
    <row r="302" spans="1:6" x14ac:dyDescent="0.25">
      <c r="A302" t="s">
        <v>186</v>
      </c>
      <c r="B302" t="s">
        <v>187</v>
      </c>
      <c r="C302" t="s">
        <v>188</v>
      </c>
      <c r="D302">
        <v>2017</v>
      </c>
      <c r="E302">
        <v>90763</v>
      </c>
      <c r="F302" t="str">
        <f>VLOOKUP(B302,'Facility List'!$B$2:$E$156,3,0)</f>
        <v>Region 5</v>
      </c>
    </row>
    <row r="303" spans="1:6" x14ac:dyDescent="0.25">
      <c r="A303" t="s">
        <v>186</v>
      </c>
      <c r="B303" t="s">
        <v>187</v>
      </c>
      <c r="C303" t="s">
        <v>188</v>
      </c>
      <c r="D303">
        <v>2018</v>
      </c>
      <c r="E303">
        <v>83400</v>
      </c>
      <c r="F303" t="str">
        <f>VLOOKUP(B303,'Facility List'!$B$2:$E$156,3,0)</f>
        <v>Region 5</v>
      </c>
    </row>
    <row r="304" spans="1:6" x14ac:dyDescent="0.25">
      <c r="A304" t="s">
        <v>186</v>
      </c>
      <c r="B304" t="s">
        <v>187</v>
      </c>
      <c r="C304" t="s">
        <v>188</v>
      </c>
      <c r="D304">
        <v>2019</v>
      </c>
      <c r="E304">
        <v>84666</v>
      </c>
      <c r="F304" t="str">
        <f>VLOOKUP(B304,'Facility List'!$B$2:$E$156,3,0)</f>
        <v>Region 5</v>
      </c>
    </row>
    <row r="305" spans="1:6" x14ac:dyDescent="0.25">
      <c r="A305" t="s">
        <v>186</v>
      </c>
      <c r="B305" t="s">
        <v>187</v>
      </c>
      <c r="C305" t="s">
        <v>188</v>
      </c>
      <c r="D305">
        <v>2020</v>
      </c>
      <c r="E305">
        <v>74424</v>
      </c>
      <c r="F305" t="str">
        <f>VLOOKUP(B305,'Facility List'!$B$2:$E$156,3,0)</f>
        <v>Region 5</v>
      </c>
    </row>
    <row r="306" spans="1:6" x14ac:dyDescent="0.25">
      <c r="A306" t="s">
        <v>186</v>
      </c>
      <c r="B306" t="s">
        <v>187</v>
      </c>
      <c r="C306" t="s">
        <v>188</v>
      </c>
      <c r="D306">
        <v>2021</v>
      </c>
      <c r="E306">
        <v>78730</v>
      </c>
      <c r="F306" t="str">
        <f>VLOOKUP(B306,'Facility List'!$B$2:$E$156,3,0)</f>
        <v>Region 5</v>
      </c>
    </row>
    <row r="307" spans="1:6" x14ac:dyDescent="0.25">
      <c r="A307" t="s">
        <v>189</v>
      </c>
      <c r="B307" t="s">
        <v>190</v>
      </c>
      <c r="C307" t="s">
        <v>191</v>
      </c>
      <c r="D307">
        <v>2017</v>
      </c>
      <c r="E307">
        <v>43837</v>
      </c>
      <c r="F307" t="str">
        <f>VLOOKUP(B307,'Facility List'!$B$2:$E$156,3,0)</f>
        <v>Region 5</v>
      </c>
    </row>
    <row r="308" spans="1:6" x14ac:dyDescent="0.25">
      <c r="A308" t="s">
        <v>189</v>
      </c>
      <c r="B308" t="s">
        <v>190</v>
      </c>
      <c r="C308" t="s">
        <v>191</v>
      </c>
      <c r="D308">
        <v>2018</v>
      </c>
      <c r="E308">
        <v>50433</v>
      </c>
      <c r="F308" t="str">
        <f>VLOOKUP(B308,'Facility List'!$B$2:$E$156,3,0)</f>
        <v>Region 5</v>
      </c>
    </row>
    <row r="309" spans="1:6" x14ac:dyDescent="0.25">
      <c r="A309" t="s">
        <v>189</v>
      </c>
      <c r="B309" t="s">
        <v>190</v>
      </c>
      <c r="C309" t="s">
        <v>191</v>
      </c>
      <c r="D309">
        <v>2019</v>
      </c>
      <c r="E309">
        <v>24783</v>
      </c>
      <c r="F309" t="str">
        <f>VLOOKUP(B309,'Facility List'!$B$2:$E$156,3,0)</f>
        <v>Region 5</v>
      </c>
    </row>
    <row r="310" spans="1:6" x14ac:dyDescent="0.25">
      <c r="A310" t="s">
        <v>189</v>
      </c>
      <c r="B310" t="s">
        <v>190</v>
      </c>
      <c r="C310" t="s">
        <v>191</v>
      </c>
      <c r="D310">
        <v>2020</v>
      </c>
      <c r="E310">
        <v>38472</v>
      </c>
      <c r="F310" t="str">
        <f>VLOOKUP(B310,'Facility List'!$B$2:$E$156,3,0)</f>
        <v>Region 5</v>
      </c>
    </row>
    <row r="311" spans="1:6" x14ac:dyDescent="0.25">
      <c r="A311" t="s">
        <v>189</v>
      </c>
      <c r="B311" t="s">
        <v>190</v>
      </c>
      <c r="C311" t="s">
        <v>191</v>
      </c>
      <c r="D311">
        <v>2021</v>
      </c>
      <c r="E311">
        <v>40654.21</v>
      </c>
      <c r="F311" t="str">
        <f>VLOOKUP(B311,'Facility List'!$B$2:$E$156,3,0)</f>
        <v>Region 5</v>
      </c>
    </row>
    <row r="312" spans="1:6" x14ac:dyDescent="0.25">
      <c r="A312" t="s">
        <v>192</v>
      </c>
      <c r="B312" t="s">
        <v>193</v>
      </c>
      <c r="C312" t="s">
        <v>194</v>
      </c>
      <c r="D312">
        <v>2017</v>
      </c>
      <c r="E312">
        <v>444</v>
      </c>
      <c r="F312" t="str">
        <f>VLOOKUP(B312,'Facility List'!$B$2:$E$156,3,0)</f>
        <v>Region 6</v>
      </c>
    </row>
    <row r="313" spans="1:6" x14ac:dyDescent="0.25">
      <c r="A313" t="s">
        <v>192</v>
      </c>
      <c r="B313" t="s">
        <v>193</v>
      </c>
      <c r="C313" t="s">
        <v>194</v>
      </c>
      <c r="D313">
        <v>2018</v>
      </c>
      <c r="E313">
        <v>451.875</v>
      </c>
      <c r="F313" t="str">
        <f>VLOOKUP(B313,'Facility List'!$B$2:$E$156,3,0)</f>
        <v>Region 6</v>
      </c>
    </row>
    <row r="314" spans="1:6" x14ac:dyDescent="0.25">
      <c r="A314" t="s">
        <v>192</v>
      </c>
      <c r="B314" t="s">
        <v>193</v>
      </c>
      <c r="C314" t="s">
        <v>194</v>
      </c>
      <c r="D314">
        <v>2019</v>
      </c>
      <c r="E314">
        <v>386.25</v>
      </c>
      <c r="F314" t="str">
        <f>VLOOKUP(B314,'Facility List'!$B$2:$E$156,3,0)</f>
        <v>Region 6</v>
      </c>
    </row>
    <row r="315" spans="1:6" x14ac:dyDescent="0.25">
      <c r="A315" t="s">
        <v>192</v>
      </c>
      <c r="B315" t="s">
        <v>193</v>
      </c>
      <c r="C315" t="s">
        <v>194</v>
      </c>
      <c r="D315">
        <v>2020</v>
      </c>
      <c r="E315">
        <v>339.5</v>
      </c>
      <c r="F315" t="str">
        <f>VLOOKUP(B315,'Facility List'!$B$2:$E$156,3,0)</f>
        <v>Region 6</v>
      </c>
    </row>
    <row r="316" spans="1:6" x14ac:dyDescent="0.25">
      <c r="A316" t="s">
        <v>192</v>
      </c>
      <c r="B316" t="s">
        <v>193</v>
      </c>
      <c r="C316" t="s">
        <v>194</v>
      </c>
      <c r="D316">
        <v>2021</v>
      </c>
      <c r="E316">
        <v>297</v>
      </c>
      <c r="F316" t="str">
        <f>VLOOKUP(B316,'Facility List'!$B$2:$E$156,3,0)</f>
        <v>Region 6</v>
      </c>
    </row>
    <row r="317" spans="1:6" x14ac:dyDescent="0.25">
      <c r="A317" t="s">
        <v>195</v>
      </c>
      <c r="B317" t="s">
        <v>196</v>
      </c>
      <c r="C317" t="s">
        <v>197</v>
      </c>
      <c r="D317">
        <v>2017</v>
      </c>
      <c r="E317">
        <v>5219</v>
      </c>
      <c r="F317" t="str">
        <f>VLOOKUP(B317,'Facility List'!$B$2:$E$156,3,0)</f>
        <v>Region 6</v>
      </c>
    </row>
    <row r="318" spans="1:6" x14ac:dyDescent="0.25">
      <c r="A318" t="s">
        <v>195</v>
      </c>
      <c r="B318" t="s">
        <v>196</v>
      </c>
      <c r="C318" t="s">
        <v>197</v>
      </c>
      <c r="D318">
        <v>2018</v>
      </c>
      <c r="E318">
        <v>5209.25</v>
      </c>
      <c r="F318" t="str">
        <f>VLOOKUP(B318,'Facility List'!$B$2:$E$156,3,0)</f>
        <v>Region 6</v>
      </c>
    </row>
    <row r="319" spans="1:6" x14ac:dyDescent="0.25">
      <c r="A319" t="s">
        <v>195</v>
      </c>
      <c r="B319" t="s">
        <v>196</v>
      </c>
      <c r="C319" t="s">
        <v>197</v>
      </c>
      <c r="D319">
        <v>2019</v>
      </c>
      <c r="E319">
        <v>6092.46</v>
      </c>
      <c r="F319" t="str">
        <f>VLOOKUP(B319,'Facility List'!$B$2:$E$156,3,0)</f>
        <v>Region 6</v>
      </c>
    </row>
    <row r="320" spans="1:6" x14ac:dyDescent="0.25">
      <c r="A320" t="s">
        <v>195</v>
      </c>
      <c r="B320" t="s">
        <v>196</v>
      </c>
      <c r="C320" t="s">
        <v>197</v>
      </c>
      <c r="D320">
        <v>2020</v>
      </c>
      <c r="E320">
        <v>6236.03</v>
      </c>
      <c r="F320" t="str">
        <f>VLOOKUP(B320,'Facility List'!$B$2:$E$156,3,0)</f>
        <v>Region 6</v>
      </c>
    </row>
    <row r="321" spans="1:6" x14ac:dyDescent="0.25">
      <c r="A321" t="s">
        <v>195</v>
      </c>
      <c r="B321" t="s">
        <v>196</v>
      </c>
      <c r="C321" t="s">
        <v>197</v>
      </c>
      <c r="D321">
        <v>2021</v>
      </c>
      <c r="E321">
        <v>5975.13</v>
      </c>
      <c r="F321" t="str">
        <f>VLOOKUP(B321,'Facility List'!$B$2:$E$156,3,0)</f>
        <v>Region 6</v>
      </c>
    </row>
    <row r="322" spans="1:6" x14ac:dyDescent="0.25">
      <c r="A322" t="s">
        <v>198</v>
      </c>
      <c r="B322" t="s">
        <v>199</v>
      </c>
      <c r="C322" t="s">
        <v>200</v>
      </c>
      <c r="D322">
        <v>2017</v>
      </c>
      <c r="E322">
        <v>7295.9350000000004</v>
      </c>
      <c r="F322" t="str">
        <f>VLOOKUP(B322,'Facility List'!$B$2:$E$156,3,0)</f>
        <v>Region 6</v>
      </c>
    </row>
    <row r="323" spans="1:6" x14ac:dyDescent="0.25">
      <c r="A323" t="s">
        <v>198</v>
      </c>
      <c r="B323" t="s">
        <v>199</v>
      </c>
      <c r="C323" t="s">
        <v>200</v>
      </c>
      <c r="D323">
        <v>2018</v>
      </c>
      <c r="E323">
        <v>7295.4319999999998</v>
      </c>
      <c r="F323" t="str">
        <f>VLOOKUP(B323,'Facility List'!$B$2:$E$156,3,0)</f>
        <v>Region 6</v>
      </c>
    </row>
    <row r="324" spans="1:6" x14ac:dyDescent="0.25">
      <c r="A324" t="s">
        <v>198</v>
      </c>
      <c r="B324" t="s">
        <v>199</v>
      </c>
      <c r="C324" t="s">
        <v>200</v>
      </c>
      <c r="D324">
        <v>2019</v>
      </c>
      <c r="E324">
        <v>7297.107</v>
      </c>
      <c r="F324" t="str">
        <f>VLOOKUP(B324,'Facility List'!$B$2:$E$156,3,0)</f>
        <v>Region 6</v>
      </c>
    </row>
    <row r="325" spans="1:6" x14ac:dyDescent="0.25">
      <c r="A325" t="s">
        <v>198</v>
      </c>
      <c r="B325" t="s">
        <v>199</v>
      </c>
      <c r="C325" t="s">
        <v>200</v>
      </c>
      <c r="D325">
        <v>2020</v>
      </c>
      <c r="E325">
        <v>7254.7020000000002</v>
      </c>
      <c r="F325" t="str">
        <f>VLOOKUP(B325,'Facility List'!$B$2:$E$156,3,0)</f>
        <v>Region 6</v>
      </c>
    </row>
    <row r="326" spans="1:6" x14ac:dyDescent="0.25">
      <c r="A326" t="s">
        <v>198</v>
      </c>
      <c r="B326" t="s">
        <v>199</v>
      </c>
      <c r="C326" t="s">
        <v>200</v>
      </c>
      <c r="D326">
        <v>2021</v>
      </c>
      <c r="E326">
        <v>7081.433</v>
      </c>
      <c r="F326" t="str">
        <f>VLOOKUP(B326,'Facility List'!$B$2:$E$156,3,0)</f>
        <v>Region 6</v>
      </c>
    </row>
    <row r="327" spans="1:6" x14ac:dyDescent="0.25">
      <c r="A327" t="s">
        <v>201</v>
      </c>
      <c r="B327" t="s">
        <v>202</v>
      </c>
      <c r="C327" t="s">
        <v>203</v>
      </c>
      <c r="D327">
        <v>2017</v>
      </c>
      <c r="E327">
        <v>394461.02</v>
      </c>
      <c r="F327" t="str">
        <f>VLOOKUP(B327,'Facility List'!$B$2:$E$156,3,0)</f>
        <v>Region 6</v>
      </c>
    </row>
    <row r="328" spans="1:6" x14ac:dyDescent="0.25">
      <c r="A328" t="s">
        <v>201</v>
      </c>
      <c r="B328" t="s">
        <v>202</v>
      </c>
      <c r="C328" t="s">
        <v>203</v>
      </c>
      <c r="D328">
        <v>2018</v>
      </c>
      <c r="E328">
        <v>373799.2</v>
      </c>
      <c r="F328" t="str">
        <f>VLOOKUP(B328,'Facility List'!$B$2:$E$156,3,0)</f>
        <v>Region 6</v>
      </c>
    </row>
    <row r="329" spans="1:6" x14ac:dyDescent="0.25">
      <c r="A329" t="s">
        <v>201</v>
      </c>
      <c r="B329" t="s">
        <v>202</v>
      </c>
      <c r="C329" t="s">
        <v>203</v>
      </c>
      <c r="D329">
        <v>2019</v>
      </c>
      <c r="E329">
        <v>393180.68</v>
      </c>
      <c r="F329" t="str">
        <f>VLOOKUP(B329,'Facility List'!$B$2:$E$156,3,0)</f>
        <v>Region 6</v>
      </c>
    </row>
    <row r="330" spans="1:6" x14ac:dyDescent="0.25">
      <c r="A330" t="s">
        <v>201</v>
      </c>
      <c r="B330" t="s">
        <v>202</v>
      </c>
      <c r="C330" t="s">
        <v>203</v>
      </c>
      <c r="D330">
        <v>2020</v>
      </c>
      <c r="E330">
        <v>418945.36</v>
      </c>
      <c r="F330" t="str">
        <f>VLOOKUP(B330,'Facility List'!$B$2:$E$156,3,0)</f>
        <v>Region 6</v>
      </c>
    </row>
    <row r="331" spans="1:6" x14ac:dyDescent="0.25">
      <c r="A331" t="s">
        <v>201</v>
      </c>
      <c r="B331" t="s">
        <v>202</v>
      </c>
      <c r="C331" t="s">
        <v>203</v>
      </c>
      <c r="D331">
        <v>2021</v>
      </c>
      <c r="E331">
        <v>440226.9</v>
      </c>
      <c r="F331" t="str">
        <f>VLOOKUP(B331,'Facility List'!$B$2:$E$156,3,0)</f>
        <v>Region 6</v>
      </c>
    </row>
    <row r="332" spans="1:6" x14ac:dyDescent="0.25">
      <c r="A332" t="s">
        <v>204</v>
      </c>
      <c r="B332" s="1" t="s">
        <v>205</v>
      </c>
      <c r="C332" t="s">
        <v>206</v>
      </c>
      <c r="D332">
        <v>2017</v>
      </c>
      <c r="E332">
        <v>1005</v>
      </c>
      <c r="F332" t="str">
        <f>VLOOKUP(B332,'Facility List'!$B$2:$E$156,3,0)</f>
        <v>Region 6</v>
      </c>
    </row>
    <row r="333" spans="1:6" x14ac:dyDescent="0.25">
      <c r="A333" t="s">
        <v>204</v>
      </c>
      <c r="B333" s="1" t="s">
        <v>205</v>
      </c>
      <c r="C333" t="s">
        <v>206</v>
      </c>
      <c r="D333">
        <v>2018</v>
      </c>
      <c r="E333">
        <v>1073</v>
      </c>
      <c r="F333" t="str">
        <f>VLOOKUP(B333,'Facility List'!$B$2:$E$156,3,0)</f>
        <v>Region 6</v>
      </c>
    </row>
    <row r="334" spans="1:6" x14ac:dyDescent="0.25">
      <c r="A334" t="s">
        <v>204</v>
      </c>
      <c r="B334" s="1" t="s">
        <v>205</v>
      </c>
      <c r="C334" t="s">
        <v>206</v>
      </c>
      <c r="D334">
        <v>2019</v>
      </c>
      <c r="E334">
        <v>960</v>
      </c>
      <c r="F334" t="str">
        <f>VLOOKUP(B334,'Facility List'!$B$2:$E$156,3,0)</f>
        <v>Region 6</v>
      </c>
    </row>
    <row r="335" spans="1:6" x14ac:dyDescent="0.25">
      <c r="A335" t="s">
        <v>204</v>
      </c>
      <c r="B335" s="1" t="s">
        <v>205</v>
      </c>
      <c r="C335" t="s">
        <v>206</v>
      </c>
      <c r="D335">
        <v>2020</v>
      </c>
      <c r="E335">
        <v>960</v>
      </c>
      <c r="F335" t="str">
        <f>VLOOKUP(B335,'Facility List'!$B$2:$E$156,3,0)</f>
        <v>Region 6</v>
      </c>
    </row>
    <row r="336" spans="1:6" x14ac:dyDescent="0.25">
      <c r="A336" t="s">
        <v>204</v>
      </c>
      <c r="B336" s="1" t="s">
        <v>205</v>
      </c>
      <c r="C336" t="s">
        <v>206</v>
      </c>
      <c r="D336">
        <v>2021</v>
      </c>
      <c r="E336">
        <v>925</v>
      </c>
      <c r="F336" t="str">
        <f>VLOOKUP(B336,'Facility List'!$B$2:$E$156,3,0)</f>
        <v>Region 6</v>
      </c>
    </row>
    <row r="337" spans="1:6" x14ac:dyDescent="0.25">
      <c r="A337" t="s">
        <v>207</v>
      </c>
      <c r="B337" t="s">
        <v>208</v>
      </c>
      <c r="C337" t="s">
        <v>209</v>
      </c>
      <c r="D337">
        <v>2017</v>
      </c>
      <c r="F337" t="str">
        <f>VLOOKUP(B337,'Facility List'!$B$2:$E$156,3,0)</f>
        <v>Region 6</v>
      </c>
    </row>
    <row r="338" spans="1:6" x14ac:dyDescent="0.25">
      <c r="A338" t="s">
        <v>207</v>
      </c>
      <c r="B338" t="s">
        <v>208</v>
      </c>
      <c r="C338" t="s">
        <v>209</v>
      </c>
      <c r="D338">
        <v>2018</v>
      </c>
      <c r="F338" t="str">
        <f>VLOOKUP(B338,'Facility List'!$B$2:$E$156,3,0)</f>
        <v>Region 6</v>
      </c>
    </row>
    <row r="339" spans="1:6" x14ac:dyDescent="0.25">
      <c r="A339" t="s">
        <v>207</v>
      </c>
      <c r="B339" t="s">
        <v>208</v>
      </c>
      <c r="C339" t="s">
        <v>209</v>
      </c>
      <c r="D339">
        <v>2019</v>
      </c>
      <c r="F339" t="str">
        <f>VLOOKUP(B339,'Facility List'!$B$2:$E$156,3,0)</f>
        <v>Region 6</v>
      </c>
    </row>
    <row r="340" spans="1:6" x14ac:dyDescent="0.25">
      <c r="A340" t="s">
        <v>207</v>
      </c>
      <c r="B340" t="s">
        <v>208</v>
      </c>
      <c r="C340" t="s">
        <v>209</v>
      </c>
      <c r="D340">
        <v>2020</v>
      </c>
      <c r="F340" t="str">
        <f>VLOOKUP(B340,'Facility List'!$B$2:$E$156,3,0)</f>
        <v>Region 6</v>
      </c>
    </row>
    <row r="341" spans="1:6" x14ac:dyDescent="0.25">
      <c r="A341" t="s">
        <v>207</v>
      </c>
      <c r="B341" t="s">
        <v>208</v>
      </c>
      <c r="C341" t="s">
        <v>209</v>
      </c>
      <c r="D341">
        <v>2021</v>
      </c>
      <c r="E341">
        <v>3478.1</v>
      </c>
      <c r="F341" t="str">
        <f>VLOOKUP(B341,'Facility List'!$B$2:$E$156,3,0)</f>
        <v>Region 6</v>
      </c>
    </row>
    <row r="342" spans="1:6" x14ac:dyDescent="0.25">
      <c r="A342" t="s">
        <v>210</v>
      </c>
      <c r="B342" t="s">
        <v>211</v>
      </c>
      <c r="C342" t="s">
        <v>212</v>
      </c>
      <c r="D342">
        <v>2017</v>
      </c>
      <c r="E342">
        <v>2.4</v>
      </c>
      <c r="F342" t="str">
        <f>VLOOKUP(B342,'Facility List'!$B$2:$E$156,3,0)</f>
        <v>Region 6</v>
      </c>
    </row>
    <row r="343" spans="1:6" x14ac:dyDescent="0.25">
      <c r="A343" t="s">
        <v>210</v>
      </c>
      <c r="B343" t="s">
        <v>211</v>
      </c>
      <c r="C343" t="s">
        <v>212</v>
      </c>
      <c r="D343">
        <v>2018</v>
      </c>
      <c r="E343">
        <v>2</v>
      </c>
      <c r="F343" t="str">
        <f>VLOOKUP(B343,'Facility List'!$B$2:$E$156,3,0)</f>
        <v>Region 6</v>
      </c>
    </row>
    <row r="344" spans="1:6" x14ac:dyDescent="0.25">
      <c r="A344" t="s">
        <v>210</v>
      </c>
      <c r="B344" t="s">
        <v>211</v>
      </c>
      <c r="C344" t="s">
        <v>212</v>
      </c>
      <c r="D344">
        <v>2019</v>
      </c>
      <c r="E344">
        <v>3</v>
      </c>
      <c r="F344" t="str">
        <f>VLOOKUP(B344,'Facility List'!$B$2:$E$156,3,0)</f>
        <v>Region 6</v>
      </c>
    </row>
    <row r="345" spans="1:6" x14ac:dyDescent="0.25">
      <c r="A345" t="s">
        <v>210</v>
      </c>
      <c r="B345" t="s">
        <v>211</v>
      </c>
      <c r="C345" t="s">
        <v>212</v>
      </c>
      <c r="D345">
        <v>2020</v>
      </c>
      <c r="E345">
        <v>2</v>
      </c>
      <c r="F345" t="str">
        <f>VLOOKUP(B345,'Facility List'!$B$2:$E$156,3,0)</f>
        <v>Region 6</v>
      </c>
    </row>
    <row r="346" spans="1:6" x14ac:dyDescent="0.25">
      <c r="A346" t="s">
        <v>210</v>
      </c>
      <c r="B346" t="s">
        <v>211</v>
      </c>
      <c r="C346" t="s">
        <v>212</v>
      </c>
      <c r="D346">
        <v>2021</v>
      </c>
      <c r="E346">
        <v>2</v>
      </c>
      <c r="F346" t="str">
        <f>VLOOKUP(B346,'Facility List'!$B$2:$E$156,3,0)</f>
        <v>Region 6</v>
      </c>
    </row>
    <row r="347" spans="1:6" x14ac:dyDescent="0.25">
      <c r="A347" t="s">
        <v>213</v>
      </c>
      <c r="B347" t="s">
        <v>214</v>
      </c>
      <c r="C347" t="s">
        <v>215</v>
      </c>
      <c r="D347">
        <v>2017</v>
      </c>
      <c r="E347">
        <v>4853</v>
      </c>
      <c r="F347" t="str">
        <f>VLOOKUP(B347,'Facility List'!$B$2:$E$156,3,0)</f>
        <v>Region 6</v>
      </c>
    </row>
    <row r="348" spans="1:6" x14ac:dyDescent="0.25">
      <c r="A348" t="s">
        <v>213</v>
      </c>
      <c r="B348" t="s">
        <v>214</v>
      </c>
      <c r="C348" t="s">
        <v>215</v>
      </c>
      <c r="D348">
        <v>2018</v>
      </c>
      <c r="E348">
        <v>4545</v>
      </c>
      <c r="F348" t="str">
        <f>VLOOKUP(B348,'Facility List'!$B$2:$E$156,3,0)</f>
        <v>Region 6</v>
      </c>
    </row>
    <row r="349" spans="1:6" x14ac:dyDescent="0.25">
      <c r="A349" t="s">
        <v>213</v>
      </c>
      <c r="B349" t="s">
        <v>214</v>
      </c>
      <c r="C349" t="s">
        <v>215</v>
      </c>
      <c r="D349">
        <v>2019</v>
      </c>
      <c r="E349">
        <v>4320</v>
      </c>
      <c r="F349" t="str">
        <f>VLOOKUP(B349,'Facility List'!$B$2:$E$156,3,0)</f>
        <v>Region 6</v>
      </c>
    </row>
    <row r="350" spans="1:6" x14ac:dyDescent="0.25">
      <c r="A350" t="s">
        <v>213</v>
      </c>
      <c r="B350" t="s">
        <v>214</v>
      </c>
      <c r="C350" t="s">
        <v>215</v>
      </c>
      <c r="D350">
        <v>2020</v>
      </c>
      <c r="E350">
        <v>5300</v>
      </c>
      <c r="F350" t="str">
        <f>VLOOKUP(B350,'Facility List'!$B$2:$E$156,3,0)</f>
        <v>Region 6</v>
      </c>
    </row>
    <row r="351" spans="1:6" x14ac:dyDescent="0.25">
      <c r="A351" t="s">
        <v>213</v>
      </c>
      <c r="B351" t="s">
        <v>214</v>
      </c>
      <c r="C351" t="s">
        <v>215</v>
      </c>
      <c r="D351">
        <v>2021</v>
      </c>
      <c r="E351">
        <v>3037</v>
      </c>
      <c r="F351" t="str">
        <f>VLOOKUP(B351,'Facility List'!$B$2:$E$156,3,0)</f>
        <v>Region 6</v>
      </c>
    </row>
    <row r="352" spans="1:6" x14ac:dyDescent="0.25">
      <c r="A352" t="s">
        <v>216</v>
      </c>
      <c r="B352" t="s">
        <v>217</v>
      </c>
      <c r="C352" t="s">
        <v>218</v>
      </c>
      <c r="D352">
        <v>2017</v>
      </c>
      <c r="E352">
        <v>137665.95000000001</v>
      </c>
      <c r="F352" t="str">
        <f>VLOOKUP(B352,'Facility List'!$B$2:$E$156,3,0)</f>
        <v>Region 7</v>
      </c>
    </row>
    <row r="353" spans="1:6" x14ac:dyDescent="0.25">
      <c r="A353" t="s">
        <v>216</v>
      </c>
      <c r="B353" t="s">
        <v>217</v>
      </c>
      <c r="C353" t="s">
        <v>218</v>
      </c>
      <c r="D353">
        <v>2018</v>
      </c>
      <c r="E353">
        <v>148588.24</v>
      </c>
      <c r="F353" t="str">
        <f>VLOOKUP(B353,'Facility List'!$B$2:$E$156,3,0)</f>
        <v>Region 7</v>
      </c>
    </row>
    <row r="354" spans="1:6" x14ac:dyDescent="0.25">
      <c r="A354" t="s">
        <v>216</v>
      </c>
      <c r="B354" t="s">
        <v>217</v>
      </c>
      <c r="C354" t="s">
        <v>218</v>
      </c>
      <c r="D354">
        <v>2019</v>
      </c>
      <c r="E354">
        <v>148518.07</v>
      </c>
      <c r="F354" t="str">
        <f>VLOOKUP(B354,'Facility List'!$B$2:$E$156,3,0)</f>
        <v>Region 7</v>
      </c>
    </row>
    <row r="355" spans="1:6" x14ac:dyDescent="0.25">
      <c r="A355" t="s">
        <v>216</v>
      </c>
      <c r="B355" t="s">
        <v>217</v>
      </c>
      <c r="C355" t="s">
        <v>218</v>
      </c>
      <c r="D355">
        <v>2020</v>
      </c>
      <c r="E355">
        <v>147218.22</v>
      </c>
      <c r="F355" t="str">
        <f>VLOOKUP(B355,'Facility List'!$B$2:$E$156,3,0)</f>
        <v>Region 7</v>
      </c>
    </row>
    <row r="356" spans="1:6" x14ac:dyDescent="0.25">
      <c r="A356" t="s">
        <v>216</v>
      </c>
      <c r="B356" t="s">
        <v>217</v>
      </c>
      <c r="C356" t="s">
        <v>218</v>
      </c>
      <c r="D356">
        <v>2021</v>
      </c>
      <c r="E356">
        <v>133437</v>
      </c>
      <c r="F356" t="str">
        <f>VLOOKUP(B356,'Facility List'!$B$2:$E$156,3,0)</f>
        <v>Region 7</v>
      </c>
    </row>
    <row r="357" spans="1:6" x14ac:dyDescent="0.25">
      <c r="A357" t="s">
        <v>219</v>
      </c>
      <c r="B357" t="s">
        <v>220</v>
      </c>
      <c r="C357" t="s">
        <v>221</v>
      </c>
      <c r="D357">
        <v>2017</v>
      </c>
      <c r="E357">
        <v>6962.35</v>
      </c>
      <c r="F357" t="str">
        <f>VLOOKUP(B357,'Facility List'!$B$2:$E$156,3,0)</f>
        <v>Region 7</v>
      </c>
    </row>
    <row r="358" spans="1:6" x14ac:dyDescent="0.25">
      <c r="A358" t="s">
        <v>219</v>
      </c>
      <c r="B358" t="s">
        <v>220</v>
      </c>
      <c r="C358" t="s">
        <v>221</v>
      </c>
      <c r="D358">
        <v>2018</v>
      </c>
      <c r="E358">
        <v>7885.78</v>
      </c>
      <c r="F358" t="str">
        <f>VLOOKUP(B358,'Facility List'!$B$2:$E$156,3,0)</f>
        <v>Region 7</v>
      </c>
    </row>
    <row r="359" spans="1:6" x14ac:dyDescent="0.25">
      <c r="A359" t="s">
        <v>219</v>
      </c>
      <c r="B359" t="s">
        <v>220</v>
      </c>
      <c r="C359" t="s">
        <v>221</v>
      </c>
      <c r="D359">
        <v>2019</v>
      </c>
      <c r="E359">
        <v>7287.2</v>
      </c>
      <c r="F359" t="str">
        <f>VLOOKUP(B359,'Facility List'!$B$2:$E$156,3,0)</f>
        <v>Region 7</v>
      </c>
    </row>
    <row r="360" spans="1:6" x14ac:dyDescent="0.25">
      <c r="A360" t="s">
        <v>219</v>
      </c>
      <c r="B360" t="s">
        <v>220</v>
      </c>
      <c r="C360" t="s">
        <v>221</v>
      </c>
      <c r="D360">
        <v>2020</v>
      </c>
      <c r="E360">
        <v>7145.32</v>
      </c>
      <c r="F360" t="str">
        <f>VLOOKUP(B360,'Facility List'!$B$2:$E$156,3,0)</f>
        <v>Region 7</v>
      </c>
    </row>
    <row r="361" spans="1:6" x14ac:dyDescent="0.25">
      <c r="A361" t="s">
        <v>219</v>
      </c>
      <c r="B361" t="s">
        <v>220</v>
      </c>
      <c r="C361" t="s">
        <v>221</v>
      </c>
      <c r="D361">
        <v>2021</v>
      </c>
      <c r="E361">
        <v>7129.2</v>
      </c>
      <c r="F361" t="str">
        <f>VLOOKUP(B361,'Facility List'!$B$2:$E$156,3,0)</f>
        <v>Region 7</v>
      </c>
    </row>
    <row r="362" spans="1:6" x14ac:dyDescent="0.25">
      <c r="A362" t="s">
        <v>222</v>
      </c>
      <c r="B362" t="s">
        <v>223</v>
      </c>
      <c r="C362" t="s">
        <v>224</v>
      </c>
      <c r="D362">
        <v>2017</v>
      </c>
      <c r="E362">
        <v>8462.2199999999993</v>
      </c>
      <c r="F362" t="str">
        <f>VLOOKUP(B362,'Facility List'!$B$2:$E$156,3,0)</f>
        <v>Region 7</v>
      </c>
    </row>
    <row r="363" spans="1:6" x14ac:dyDescent="0.25">
      <c r="A363" t="s">
        <v>222</v>
      </c>
      <c r="B363" t="s">
        <v>223</v>
      </c>
      <c r="C363" t="s">
        <v>224</v>
      </c>
      <c r="D363">
        <v>2018</v>
      </c>
      <c r="E363">
        <v>8446.1</v>
      </c>
      <c r="F363" t="str">
        <f>VLOOKUP(B363,'Facility List'!$B$2:$E$156,3,0)</f>
        <v>Region 7</v>
      </c>
    </row>
    <row r="364" spans="1:6" x14ac:dyDescent="0.25">
      <c r="A364" t="s">
        <v>222</v>
      </c>
      <c r="B364" t="s">
        <v>223</v>
      </c>
      <c r="C364" t="s">
        <v>224</v>
      </c>
      <c r="D364">
        <v>2019</v>
      </c>
      <c r="E364">
        <v>12679.5</v>
      </c>
      <c r="F364" t="str">
        <f>VLOOKUP(B364,'Facility List'!$B$2:$E$156,3,0)</f>
        <v>Region 7</v>
      </c>
    </row>
    <row r="365" spans="1:6" x14ac:dyDescent="0.25">
      <c r="A365" t="s">
        <v>222</v>
      </c>
      <c r="B365" t="s">
        <v>223</v>
      </c>
      <c r="C365" t="s">
        <v>224</v>
      </c>
      <c r="D365">
        <v>2020</v>
      </c>
      <c r="E365">
        <v>8964.61</v>
      </c>
      <c r="F365" t="str">
        <f>VLOOKUP(B365,'Facility List'!$B$2:$E$156,3,0)</f>
        <v>Region 7</v>
      </c>
    </row>
    <row r="366" spans="1:6" x14ac:dyDescent="0.25">
      <c r="A366" t="s">
        <v>222</v>
      </c>
      <c r="B366" t="s">
        <v>223</v>
      </c>
      <c r="C366" t="s">
        <v>224</v>
      </c>
      <c r="D366">
        <v>2021</v>
      </c>
      <c r="E366">
        <v>8951.49</v>
      </c>
      <c r="F366" t="str">
        <f>VLOOKUP(B366,'Facility List'!$B$2:$E$156,3,0)</f>
        <v>Region 7</v>
      </c>
    </row>
    <row r="367" spans="1:6" x14ac:dyDescent="0.25">
      <c r="A367" t="s">
        <v>225</v>
      </c>
      <c r="B367" t="s">
        <v>226</v>
      </c>
      <c r="C367" t="s">
        <v>227</v>
      </c>
      <c r="D367">
        <v>2017</v>
      </c>
      <c r="E367">
        <v>769.93</v>
      </c>
      <c r="F367" t="str">
        <f>VLOOKUP(B367,'Facility List'!$B$2:$E$156,3,0)</f>
        <v>Region 7</v>
      </c>
    </row>
    <row r="368" spans="1:6" x14ac:dyDescent="0.25">
      <c r="A368" t="s">
        <v>225</v>
      </c>
      <c r="B368" t="s">
        <v>226</v>
      </c>
      <c r="C368" t="s">
        <v>227</v>
      </c>
      <c r="D368">
        <v>2018</v>
      </c>
      <c r="E368">
        <v>754.125</v>
      </c>
      <c r="F368" t="str">
        <f>VLOOKUP(B368,'Facility List'!$B$2:$E$156,3,0)</f>
        <v>Region 7</v>
      </c>
    </row>
    <row r="369" spans="1:6" x14ac:dyDescent="0.25">
      <c r="A369" t="s">
        <v>225</v>
      </c>
      <c r="B369" t="s">
        <v>226</v>
      </c>
      <c r="C369" t="s">
        <v>227</v>
      </c>
      <c r="D369">
        <v>2019</v>
      </c>
      <c r="E369">
        <v>627.50400000000002</v>
      </c>
      <c r="F369" t="str">
        <f>VLOOKUP(B369,'Facility List'!$B$2:$E$156,3,0)</f>
        <v>Region 7</v>
      </c>
    </row>
    <row r="370" spans="1:6" x14ac:dyDescent="0.25">
      <c r="A370" t="s">
        <v>225</v>
      </c>
      <c r="B370" t="s">
        <v>226</v>
      </c>
      <c r="C370" t="s">
        <v>227</v>
      </c>
      <c r="D370">
        <v>2020</v>
      </c>
      <c r="E370">
        <v>813.74800000000005</v>
      </c>
      <c r="F370" t="str">
        <f>VLOOKUP(B370,'Facility List'!$B$2:$E$156,3,0)</f>
        <v>Region 7</v>
      </c>
    </row>
    <row r="371" spans="1:6" x14ac:dyDescent="0.25">
      <c r="A371" t="s">
        <v>225</v>
      </c>
      <c r="B371" t="s">
        <v>226</v>
      </c>
      <c r="C371" t="s">
        <v>227</v>
      </c>
      <c r="D371">
        <v>2021</v>
      </c>
      <c r="E371">
        <v>691.38800000000003</v>
      </c>
      <c r="F371" t="str">
        <f>VLOOKUP(B371,'Facility List'!$B$2:$E$156,3,0)</f>
        <v>Region 7</v>
      </c>
    </row>
    <row r="372" spans="1:6" x14ac:dyDescent="0.25">
      <c r="A372" t="s">
        <v>228</v>
      </c>
      <c r="B372" t="s">
        <v>229</v>
      </c>
      <c r="C372" t="s">
        <v>230</v>
      </c>
      <c r="D372">
        <v>2017</v>
      </c>
      <c r="E372">
        <v>203339</v>
      </c>
      <c r="F372" t="str">
        <f>VLOOKUP(B372,'Facility List'!$B$2:$E$156,3,0)</f>
        <v>Region 7</v>
      </c>
    </row>
    <row r="373" spans="1:6" x14ac:dyDescent="0.25">
      <c r="A373" t="s">
        <v>228</v>
      </c>
      <c r="B373" t="s">
        <v>229</v>
      </c>
      <c r="C373" t="s">
        <v>230</v>
      </c>
      <c r="D373">
        <v>2018</v>
      </c>
      <c r="E373">
        <v>221486</v>
      </c>
      <c r="F373" t="str">
        <f>VLOOKUP(B373,'Facility List'!$B$2:$E$156,3,0)</f>
        <v>Region 7</v>
      </c>
    </row>
    <row r="374" spans="1:6" x14ac:dyDescent="0.25">
      <c r="A374" t="s">
        <v>228</v>
      </c>
      <c r="B374" t="s">
        <v>229</v>
      </c>
      <c r="C374" t="s">
        <v>230</v>
      </c>
      <c r="D374">
        <v>2019</v>
      </c>
      <c r="E374">
        <v>260708</v>
      </c>
      <c r="F374" t="str">
        <f>VLOOKUP(B374,'Facility List'!$B$2:$E$156,3,0)</f>
        <v>Region 7</v>
      </c>
    </row>
    <row r="375" spans="1:6" x14ac:dyDescent="0.25">
      <c r="A375" t="s">
        <v>228</v>
      </c>
      <c r="B375" t="s">
        <v>229</v>
      </c>
      <c r="C375" t="s">
        <v>230</v>
      </c>
      <c r="D375">
        <v>2020</v>
      </c>
      <c r="E375">
        <v>197734</v>
      </c>
      <c r="F375" t="str">
        <f>VLOOKUP(B375,'Facility List'!$B$2:$E$156,3,0)</f>
        <v>Region 7</v>
      </c>
    </row>
    <row r="376" spans="1:6" x14ac:dyDescent="0.25">
      <c r="A376" t="s">
        <v>228</v>
      </c>
      <c r="B376" t="s">
        <v>229</v>
      </c>
      <c r="C376" t="s">
        <v>230</v>
      </c>
      <c r="D376">
        <v>2021</v>
      </c>
      <c r="E376">
        <v>170529</v>
      </c>
      <c r="F376" t="str">
        <f>VLOOKUP(B376,'Facility List'!$B$2:$E$156,3,0)</f>
        <v>Region 7</v>
      </c>
    </row>
    <row r="377" spans="1:6" x14ac:dyDescent="0.25">
      <c r="A377" t="s">
        <v>231</v>
      </c>
      <c r="B377" t="s">
        <v>232</v>
      </c>
      <c r="C377" t="s">
        <v>233</v>
      </c>
      <c r="D377">
        <v>2017</v>
      </c>
      <c r="E377">
        <v>6039.14</v>
      </c>
      <c r="F377" t="str">
        <f>VLOOKUP(B377,'Facility List'!$B$2:$E$156,3,0)</f>
        <v>Region 7</v>
      </c>
    </row>
    <row r="378" spans="1:6" x14ac:dyDescent="0.25">
      <c r="A378" t="s">
        <v>231</v>
      </c>
      <c r="B378" t="s">
        <v>232</v>
      </c>
      <c r="C378" t="s">
        <v>233</v>
      </c>
      <c r="D378">
        <v>2018</v>
      </c>
      <c r="E378">
        <v>5574.46</v>
      </c>
      <c r="F378" t="str">
        <f>VLOOKUP(B378,'Facility List'!$B$2:$E$156,3,0)</f>
        <v>Region 7</v>
      </c>
    </row>
    <row r="379" spans="1:6" x14ac:dyDescent="0.25">
      <c r="A379" t="s">
        <v>231</v>
      </c>
      <c r="B379" t="s">
        <v>232</v>
      </c>
      <c r="C379" t="s">
        <v>233</v>
      </c>
      <c r="D379">
        <v>2019</v>
      </c>
      <c r="E379">
        <v>5821.32</v>
      </c>
      <c r="F379" t="str">
        <f>VLOOKUP(B379,'Facility List'!$B$2:$E$156,3,0)</f>
        <v>Region 7</v>
      </c>
    </row>
    <row r="380" spans="1:6" x14ac:dyDescent="0.25">
      <c r="A380" t="s">
        <v>231</v>
      </c>
      <c r="B380" t="s">
        <v>232</v>
      </c>
      <c r="C380" t="s">
        <v>233</v>
      </c>
      <c r="D380">
        <v>2020</v>
      </c>
      <c r="E380">
        <v>6004.78</v>
      </c>
      <c r="F380" t="str">
        <f>VLOOKUP(B380,'Facility List'!$B$2:$E$156,3,0)</f>
        <v>Region 7</v>
      </c>
    </row>
    <row r="381" spans="1:6" x14ac:dyDescent="0.25">
      <c r="A381" t="s">
        <v>231</v>
      </c>
      <c r="B381" t="s">
        <v>232</v>
      </c>
      <c r="C381" t="s">
        <v>233</v>
      </c>
      <c r="D381">
        <v>2021</v>
      </c>
      <c r="E381">
        <v>6459.07</v>
      </c>
      <c r="F381" t="str">
        <f>VLOOKUP(B381,'Facility List'!$B$2:$E$156,3,0)</f>
        <v>Region 7</v>
      </c>
    </row>
    <row r="382" spans="1:6" x14ac:dyDescent="0.25">
      <c r="A382" t="s">
        <v>234</v>
      </c>
      <c r="B382" t="s">
        <v>235</v>
      </c>
      <c r="C382" t="s">
        <v>236</v>
      </c>
      <c r="D382">
        <v>2017</v>
      </c>
      <c r="E382">
        <v>197</v>
      </c>
      <c r="F382" t="str">
        <f>VLOOKUP(B382,'Facility List'!$B$2:$E$156,3,0)</f>
        <v>Region 7</v>
      </c>
    </row>
    <row r="383" spans="1:6" x14ac:dyDescent="0.25">
      <c r="A383" t="s">
        <v>234</v>
      </c>
      <c r="B383" t="s">
        <v>235</v>
      </c>
      <c r="C383" t="s">
        <v>236</v>
      </c>
      <c r="D383">
        <v>2018</v>
      </c>
      <c r="E383">
        <v>3716</v>
      </c>
      <c r="F383" t="str">
        <f>VLOOKUP(B383,'Facility List'!$B$2:$E$156,3,0)</f>
        <v>Region 7</v>
      </c>
    </row>
    <row r="384" spans="1:6" x14ac:dyDescent="0.25">
      <c r="A384" t="s">
        <v>234</v>
      </c>
      <c r="B384" t="s">
        <v>235</v>
      </c>
      <c r="C384" t="s">
        <v>236</v>
      </c>
      <c r="D384">
        <v>2019</v>
      </c>
      <c r="E384">
        <v>4804</v>
      </c>
      <c r="F384" t="str">
        <f>VLOOKUP(B384,'Facility List'!$B$2:$E$156,3,0)</f>
        <v>Region 7</v>
      </c>
    </row>
    <row r="385" spans="1:6" x14ac:dyDescent="0.25">
      <c r="A385" t="s">
        <v>234</v>
      </c>
      <c r="B385" t="s">
        <v>235</v>
      </c>
      <c r="C385" t="s">
        <v>236</v>
      </c>
      <c r="D385">
        <v>2020</v>
      </c>
      <c r="E385">
        <v>3996</v>
      </c>
      <c r="F385" t="str">
        <f>VLOOKUP(B385,'Facility List'!$B$2:$E$156,3,0)</f>
        <v>Region 7</v>
      </c>
    </row>
    <row r="386" spans="1:6" x14ac:dyDescent="0.25">
      <c r="A386" t="s">
        <v>234</v>
      </c>
      <c r="B386" t="s">
        <v>235</v>
      </c>
      <c r="C386" t="s">
        <v>236</v>
      </c>
      <c r="D386">
        <v>2021</v>
      </c>
      <c r="E386">
        <v>3996</v>
      </c>
      <c r="F386" t="str">
        <f>VLOOKUP(B386,'Facility List'!$B$2:$E$156,3,0)</f>
        <v>Region 7</v>
      </c>
    </row>
    <row r="387" spans="1:6" x14ac:dyDescent="0.25">
      <c r="A387" t="s">
        <v>237</v>
      </c>
      <c r="B387" t="s">
        <v>238</v>
      </c>
      <c r="C387" t="s">
        <v>239</v>
      </c>
      <c r="D387">
        <v>2017</v>
      </c>
      <c r="F387" t="str">
        <f>VLOOKUP(B387,'Facility List'!$B$2:$E$156,3,0)</f>
        <v>Region 7</v>
      </c>
    </row>
    <row r="388" spans="1:6" x14ac:dyDescent="0.25">
      <c r="A388" t="s">
        <v>237</v>
      </c>
      <c r="B388" t="s">
        <v>238</v>
      </c>
      <c r="C388" t="s">
        <v>239</v>
      </c>
      <c r="D388">
        <v>2018</v>
      </c>
      <c r="F388" t="str">
        <f>VLOOKUP(B388,'Facility List'!$B$2:$E$156,3,0)</f>
        <v>Region 7</v>
      </c>
    </row>
    <row r="389" spans="1:6" x14ac:dyDescent="0.25">
      <c r="A389" t="s">
        <v>237</v>
      </c>
      <c r="B389" t="s">
        <v>238</v>
      </c>
      <c r="C389" t="s">
        <v>239</v>
      </c>
      <c r="D389">
        <v>2019</v>
      </c>
      <c r="F389" t="str">
        <f>VLOOKUP(B389,'Facility List'!$B$2:$E$156,3,0)</f>
        <v>Region 7</v>
      </c>
    </row>
    <row r="390" spans="1:6" x14ac:dyDescent="0.25">
      <c r="A390" t="s">
        <v>237</v>
      </c>
      <c r="B390" t="s">
        <v>238</v>
      </c>
      <c r="C390" t="s">
        <v>239</v>
      </c>
      <c r="D390">
        <v>2020</v>
      </c>
      <c r="F390" t="str">
        <f>VLOOKUP(B390,'Facility List'!$B$2:$E$156,3,0)</f>
        <v>Region 7</v>
      </c>
    </row>
    <row r="391" spans="1:6" x14ac:dyDescent="0.25">
      <c r="A391" t="s">
        <v>237</v>
      </c>
      <c r="B391" t="s">
        <v>238</v>
      </c>
      <c r="C391" t="s">
        <v>239</v>
      </c>
      <c r="D391">
        <v>2021</v>
      </c>
      <c r="E391">
        <v>2578.14</v>
      </c>
      <c r="F391" t="str">
        <f>VLOOKUP(B391,'Facility List'!$B$2:$E$156,3,0)</f>
        <v>Region 7</v>
      </c>
    </row>
    <row r="392" spans="1:6" x14ac:dyDescent="0.25">
      <c r="A392" t="s">
        <v>240</v>
      </c>
      <c r="B392" t="s">
        <v>241</v>
      </c>
      <c r="C392" t="s">
        <v>242</v>
      </c>
      <c r="D392">
        <v>2017</v>
      </c>
      <c r="E392">
        <v>37132.36</v>
      </c>
      <c r="F392" t="str">
        <f>VLOOKUP(B392,'Facility List'!$B$2:$E$156,3,0)</f>
        <v>Region 7</v>
      </c>
    </row>
    <row r="393" spans="1:6" x14ac:dyDescent="0.25">
      <c r="A393" t="s">
        <v>240</v>
      </c>
      <c r="B393" t="s">
        <v>241</v>
      </c>
      <c r="C393" t="s">
        <v>242</v>
      </c>
      <c r="D393">
        <v>2018</v>
      </c>
      <c r="E393">
        <v>34786.870000000003</v>
      </c>
      <c r="F393" t="str">
        <f>VLOOKUP(B393,'Facility List'!$B$2:$E$156,3,0)</f>
        <v>Region 7</v>
      </c>
    </row>
    <row r="394" spans="1:6" x14ac:dyDescent="0.25">
      <c r="A394" t="s">
        <v>240</v>
      </c>
      <c r="B394" t="s">
        <v>241</v>
      </c>
      <c r="C394" t="s">
        <v>242</v>
      </c>
      <c r="D394">
        <v>2019</v>
      </c>
      <c r="E394">
        <v>37329.129999999997</v>
      </c>
      <c r="F394" t="str">
        <f>VLOOKUP(B394,'Facility List'!$B$2:$E$156,3,0)</f>
        <v>Region 7</v>
      </c>
    </row>
    <row r="395" spans="1:6" x14ac:dyDescent="0.25">
      <c r="A395" t="s">
        <v>240</v>
      </c>
      <c r="B395" t="s">
        <v>241</v>
      </c>
      <c r="C395" t="s">
        <v>242</v>
      </c>
      <c r="D395">
        <v>2020</v>
      </c>
      <c r="E395">
        <v>38644.9</v>
      </c>
      <c r="F395" t="str">
        <f>VLOOKUP(B395,'Facility List'!$B$2:$E$156,3,0)</f>
        <v>Region 7</v>
      </c>
    </row>
    <row r="396" spans="1:6" x14ac:dyDescent="0.25">
      <c r="A396" t="s">
        <v>240</v>
      </c>
      <c r="B396" t="s">
        <v>241</v>
      </c>
      <c r="C396" t="s">
        <v>242</v>
      </c>
      <c r="D396">
        <v>2021</v>
      </c>
      <c r="E396">
        <v>30096.55</v>
      </c>
      <c r="F396" t="str">
        <f>VLOOKUP(B396,'Facility List'!$B$2:$E$156,3,0)</f>
        <v>Region 7</v>
      </c>
    </row>
    <row r="397" spans="1:6" x14ac:dyDescent="0.25">
      <c r="A397" t="s">
        <v>243</v>
      </c>
      <c r="B397" t="s">
        <v>244</v>
      </c>
      <c r="C397" t="s">
        <v>245</v>
      </c>
      <c r="D397">
        <v>2017</v>
      </c>
      <c r="E397">
        <v>6862</v>
      </c>
      <c r="F397" t="str">
        <f>VLOOKUP(B397,'Facility List'!$B$2:$E$156,3,0)</f>
        <v>Region 7</v>
      </c>
    </row>
    <row r="398" spans="1:6" x14ac:dyDescent="0.25">
      <c r="A398" t="s">
        <v>243</v>
      </c>
      <c r="B398" t="s">
        <v>244</v>
      </c>
      <c r="C398" t="s">
        <v>245</v>
      </c>
      <c r="D398">
        <v>2018</v>
      </c>
      <c r="E398">
        <v>6751.48</v>
      </c>
      <c r="F398" t="str">
        <f>VLOOKUP(B398,'Facility List'!$B$2:$E$156,3,0)</f>
        <v>Region 7</v>
      </c>
    </row>
    <row r="399" spans="1:6" x14ac:dyDescent="0.25">
      <c r="A399" t="s">
        <v>243</v>
      </c>
      <c r="B399" t="s">
        <v>244</v>
      </c>
      <c r="C399" t="s">
        <v>245</v>
      </c>
      <c r="D399">
        <v>2019</v>
      </c>
      <c r="E399">
        <v>6945.69</v>
      </c>
      <c r="F399" t="str">
        <f>VLOOKUP(B399,'Facility List'!$B$2:$E$156,3,0)</f>
        <v>Region 7</v>
      </c>
    </row>
    <row r="400" spans="1:6" x14ac:dyDescent="0.25">
      <c r="A400" t="s">
        <v>243</v>
      </c>
      <c r="B400" t="s">
        <v>244</v>
      </c>
      <c r="C400" t="s">
        <v>245</v>
      </c>
      <c r="D400">
        <v>2020</v>
      </c>
      <c r="E400">
        <v>6729.41</v>
      </c>
      <c r="F400" t="str">
        <f>VLOOKUP(B400,'Facility List'!$B$2:$E$156,3,0)</f>
        <v>Region 7</v>
      </c>
    </row>
    <row r="401" spans="1:6" x14ac:dyDescent="0.25">
      <c r="A401" t="s">
        <v>243</v>
      </c>
      <c r="B401" t="s">
        <v>244</v>
      </c>
      <c r="C401" t="s">
        <v>245</v>
      </c>
      <c r="D401">
        <v>2021</v>
      </c>
      <c r="E401">
        <v>7076.45</v>
      </c>
      <c r="F401" t="str">
        <f>VLOOKUP(B401,'Facility List'!$B$2:$E$156,3,0)</f>
        <v>Region 7</v>
      </c>
    </row>
    <row r="402" spans="1:6" x14ac:dyDescent="0.25">
      <c r="A402" t="s">
        <v>246</v>
      </c>
      <c r="B402" t="s">
        <v>247</v>
      </c>
      <c r="C402" t="s">
        <v>248</v>
      </c>
      <c r="D402">
        <v>2017</v>
      </c>
      <c r="E402">
        <v>9372.2999999999993</v>
      </c>
      <c r="F402" t="str">
        <f>VLOOKUP(B402,'Facility List'!$B$2:$E$156,3,0)</f>
        <v>Region 7</v>
      </c>
    </row>
    <row r="403" spans="1:6" x14ac:dyDescent="0.25">
      <c r="A403" t="s">
        <v>246</v>
      </c>
      <c r="B403" t="s">
        <v>247</v>
      </c>
      <c r="C403" t="s">
        <v>248</v>
      </c>
      <c r="D403">
        <v>2018</v>
      </c>
      <c r="E403">
        <v>8455.93</v>
      </c>
      <c r="F403" t="str">
        <f>VLOOKUP(B403,'Facility List'!$B$2:$E$156,3,0)</f>
        <v>Region 7</v>
      </c>
    </row>
    <row r="404" spans="1:6" x14ac:dyDescent="0.25">
      <c r="A404" t="s">
        <v>246</v>
      </c>
      <c r="B404" t="s">
        <v>247</v>
      </c>
      <c r="C404" t="s">
        <v>248</v>
      </c>
      <c r="D404">
        <v>2019</v>
      </c>
      <c r="E404">
        <v>8572.15</v>
      </c>
      <c r="F404" t="str">
        <f>VLOOKUP(B404,'Facility List'!$B$2:$E$156,3,0)</f>
        <v>Region 7</v>
      </c>
    </row>
    <row r="405" spans="1:6" x14ac:dyDescent="0.25">
      <c r="A405" t="s">
        <v>246</v>
      </c>
      <c r="B405" t="s">
        <v>247</v>
      </c>
      <c r="C405" t="s">
        <v>248</v>
      </c>
      <c r="D405">
        <v>2020</v>
      </c>
      <c r="E405">
        <v>8883.39</v>
      </c>
      <c r="F405" t="str">
        <f>VLOOKUP(B405,'Facility List'!$B$2:$E$156,3,0)</f>
        <v>Region 7</v>
      </c>
    </row>
    <row r="406" spans="1:6" x14ac:dyDescent="0.25">
      <c r="A406" t="s">
        <v>246</v>
      </c>
      <c r="B406" t="s">
        <v>247</v>
      </c>
      <c r="C406" t="s">
        <v>248</v>
      </c>
      <c r="D406">
        <v>2021</v>
      </c>
      <c r="E406">
        <v>9631.0300000000007</v>
      </c>
      <c r="F406" t="str">
        <f>VLOOKUP(B406,'Facility List'!$B$2:$E$156,3,0)</f>
        <v>Region 7</v>
      </c>
    </row>
    <row r="407" spans="1:6" x14ac:dyDescent="0.25">
      <c r="A407" t="s">
        <v>249</v>
      </c>
      <c r="B407" t="s">
        <v>250</v>
      </c>
      <c r="C407" t="s">
        <v>251</v>
      </c>
      <c r="D407">
        <v>2017</v>
      </c>
      <c r="E407">
        <v>7188.38</v>
      </c>
      <c r="F407" t="str">
        <f>VLOOKUP(B407,'Facility List'!$B$2:$E$156,3,0)</f>
        <v>Region 7</v>
      </c>
    </row>
    <row r="408" spans="1:6" x14ac:dyDescent="0.25">
      <c r="A408" t="s">
        <v>249</v>
      </c>
      <c r="B408" t="s">
        <v>250</v>
      </c>
      <c r="C408" t="s">
        <v>251</v>
      </c>
      <c r="D408">
        <v>2018</v>
      </c>
      <c r="E408">
        <v>7276.19</v>
      </c>
      <c r="F408" t="str">
        <f>VLOOKUP(B408,'Facility List'!$B$2:$E$156,3,0)</f>
        <v>Region 7</v>
      </c>
    </row>
    <row r="409" spans="1:6" x14ac:dyDescent="0.25">
      <c r="A409" t="s">
        <v>249</v>
      </c>
      <c r="B409" t="s">
        <v>250</v>
      </c>
      <c r="C409" t="s">
        <v>251</v>
      </c>
      <c r="D409">
        <v>2019</v>
      </c>
      <c r="E409">
        <v>6771.35</v>
      </c>
      <c r="F409" t="str">
        <f>VLOOKUP(B409,'Facility List'!$B$2:$E$156,3,0)</f>
        <v>Region 7</v>
      </c>
    </row>
    <row r="410" spans="1:6" x14ac:dyDescent="0.25">
      <c r="A410" t="s">
        <v>249</v>
      </c>
      <c r="B410" t="s">
        <v>250</v>
      </c>
      <c r="C410" t="s">
        <v>251</v>
      </c>
      <c r="D410">
        <v>2020</v>
      </c>
      <c r="E410">
        <v>7115.76</v>
      </c>
      <c r="F410" t="str">
        <f>VLOOKUP(B410,'Facility List'!$B$2:$E$156,3,0)</f>
        <v>Region 7</v>
      </c>
    </row>
    <row r="411" spans="1:6" x14ac:dyDescent="0.25">
      <c r="A411" t="s">
        <v>249</v>
      </c>
      <c r="B411" t="s">
        <v>250</v>
      </c>
      <c r="C411" t="s">
        <v>251</v>
      </c>
      <c r="D411">
        <v>2021</v>
      </c>
      <c r="E411">
        <v>6927.52</v>
      </c>
      <c r="F411" t="str">
        <f>VLOOKUP(B411,'Facility List'!$B$2:$E$156,3,0)</f>
        <v>Region 7</v>
      </c>
    </row>
    <row r="412" spans="1:6" x14ac:dyDescent="0.25">
      <c r="A412" t="s">
        <v>252</v>
      </c>
      <c r="B412" t="s">
        <v>253</v>
      </c>
      <c r="C412" t="s">
        <v>254</v>
      </c>
      <c r="D412">
        <v>2017</v>
      </c>
      <c r="E412">
        <v>8425.33</v>
      </c>
      <c r="F412" t="str">
        <f>VLOOKUP(B412,'Facility List'!$B$2:$E$156,3,0)</f>
        <v>Region 7</v>
      </c>
    </row>
    <row r="413" spans="1:6" x14ac:dyDescent="0.25">
      <c r="A413" t="s">
        <v>252</v>
      </c>
      <c r="B413" t="s">
        <v>253</v>
      </c>
      <c r="C413" t="s">
        <v>254</v>
      </c>
      <c r="D413">
        <v>2018</v>
      </c>
      <c r="E413">
        <v>7525.66</v>
      </c>
      <c r="F413" t="str">
        <f>VLOOKUP(B413,'Facility List'!$B$2:$E$156,3,0)</f>
        <v>Region 7</v>
      </c>
    </row>
    <row r="414" spans="1:6" x14ac:dyDescent="0.25">
      <c r="A414" t="s">
        <v>252</v>
      </c>
      <c r="B414" t="s">
        <v>253</v>
      </c>
      <c r="C414" t="s">
        <v>254</v>
      </c>
      <c r="D414">
        <v>2019</v>
      </c>
      <c r="E414">
        <v>8916.9</v>
      </c>
      <c r="F414" t="str">
        <f>VLOOKUP(B414,'Facility List'!$B$2:$E$156,3,0)</f>
        <v>Region 7</v>
      </c>
    </row>
    <row r="415" spans="1:6" x14ac:dyDescent="0.25">
      <c r="A415" t="s">
        <v>252</v>
      </c>
      <c r="B415" t="s">
        <v>253</v>
      </c>
      <c r="C415" t="s">
        <v>254</v>
      </c>
      <c r="D415">
        <v>2020</v>
      </c>
      <c r="E415">
        <v>8835.2800000000007</v>
      </c>
      <c r="F415" t="str">
        <f>VLOOKUP(B415,'Facility List'!$B$2:$E$156,3,0)</f>
        <v>Region 7</v>
      </c>
    </row>
    <row r="416" spans="1:6" x14ac:dyDescent="0.25">
      <c r="A416" t="s">
        <v>252</v>
      </c>
      <c r="B416" t="s">
        <v>253</v>
      </c>
      <c r="C416" t="s">
        <v>254</v>
      </c>
      <c r="D416">
        <v>2021</v>
      </c>
      <c r="E416">
        <v>8187.28</v>
      </c>
      <c r="F416" t="str">
        <f>VLOOKUP(B416,'Facility List'!$B$2:$E$156,3,0)</f>
        <v>Region 7</v>
      </c>
    </row>
    <row r="417" spans="1:6" x14ac:dyDescent="0.25">
      <c r="A417" t="s">
        <v>255</v>
      </c>
      <c r="B417" t="s">
        <v>256</v>
      </c>
      <c r="C417" t="s">
        <v>257</v>
      </c>
      <c r="D417">
        <v>2017</v>
      </c>
      <c r="E417">
        <v>6467.03</v>
      </c>
      <c r="F417" t="str">
        <f>VLOOKUP(B417,'Facility List'!$B$2:$E$156,3,0)</f>
        <v>Region 8</v>
      </c>
    </row>
    <row r="418" spans="1:6" x14ac:dyDescent="0.25">
      <c r="A418" t="s">
        <v>255</v>
      </c>
      <c r="B418" t="s">
        <v>256</v>
      </c>
      <c r="C418" t="s">
        <v>257</v>
      </c>
      <c r="D418">
        <v>2018</v>
      </c>
      <c r="E418">
        <v>6663.46</v>
      </c>
      <c r="F418" t="str">
        <f>VLOOKUP(B418,'Facility List'!$B$2:$E$156,3,0)</f>
        <v>Region 8</v>
      </c>
    </row>
    <row r="419" spans="1:6" x14ac:dyDescent="0.25">
      <c r="A419" t="s">
        <v>255</v>
      </c>
      <c r="B419" t="s">
        <v>256</v>
      </c>
      <c r="C419" t="s">
        <v>257</v>
      </c>
      <c r="D419">
        <v>2019</v>
      </c>
      <c r="E419">
        <v>6326.09</v>
      </c>
      <c r="F419" t="str">
        <f>VLOOKUP(B419,'Facility List'!$B$2:$E$156,3,0)</f>
        <v>Region 8</v>
      </c>
    </row>
    <row r="420" spans="1:6" x14ac:dyDescent="0.25">
      <c r="A420" t="s">
        <v>255</v>
      </c>
      <c r="B420" t="s">
        <v>256</v>
      </c>
      <c r="C420" t="s">
        <v>257</v>
      </c>
      <c r="D420">
        <v>2020</v>
      </c>
      <c r="E420">
        <v>7967.42</v>
      </c>
      <c r="F420" t="str">
        <f>VLOOKUP(B420,'Facility List'!$B$2:$E$156,3,0)</f>
        <v>Region 8</v>
      </c>
    </row>
    <row r="421" spans="1:6" x14ac:dyDescent="0.25">
      <c r="A421" t="s">
        <v>255</v>
      </c>
      <c r="B421" t="s">
        <v>256</v>
      </c>
      <c r="C421" t="s">
        <v>257</v>
      </c>
      <c r="D421">
        <v>2021</v>
      </c>
      <c r="E421">
        <v>7002.25</v>
      </c>
      <c r="F421" t="str">
        <f>VLOOKUP(B421,'Facility List'!$B$2:$E$156,3,0)</f>
        <v>Region 8</v>
      </c>
    </row>
    <row r="422" spans="1:6" x14ac:dyDescent="0.25">
      <c r="A422" t="s">
        <v>258</v>
      </c>
      <c r="B422" t="s">
        <v>259</v>
      </c>
      <c r="C422" t="s">
        <v>260</v>
      </c>
      <c r="D422">
        <v>2017</v>
      </c>
      <c r="E422">
        <v>2317.92</v>
      </c>
      <c r="F422" t="str">
        <f>VLOOKUP(B422,'Facility List'!$B$2:$E$156,3,0)</f>
        <v>Region 8</v>
      </c>
    </row>
    <row r="423" spans="1:6" x14ac:dyDescent="0.25">
      <c r="A423" t="s">
        <v>258</v>
      </c>
      <c r="B423" t="s">
        <v>259</v>
      </c>
      <c r="C423" t="s">
        <v>260</v>
      </c>
      <c r="D423">
        <v>2018</v>
      </c>
      <c r="E423">
        <v>2229.9699999999998</v>
      </c>
      <c r="F423" t="str">
        <f>VLOOKUP(B423,'Facility List'!$B$2:$E$156,3,0)</f>
        <v>Region 8</v>
      </c>
    </row>
    <row r="424" spans="1:6" x14ac:dyDescent="0.25">
      <c r="A424" t="s">
        <v>258</v>
      </c>
      <c r="B424" t="s">
        <v>259</v>
      </c>
      <c r="C424" t="s">
        <v>260</v>
      </c>
      <c r="D424">
        <v>2019</v>
      </c>
      <c r="E424">
        <v>2296.59</v>
      </c>
      <c r="F424" t="str">
        <f>VLOOKUP(B424,'Facility List'!$B$2:$E$156,3,0)</f>
        <v>Region 8</v>
      </c>
    </row>
    <row r="425" spans="1:6" x14ac:dyDescent="0.25">
      <c r="A425" t="s">
        <v>258</v>
      </c>
      <c r="B425" t="s">
        <v>259</v>
      </c>
      <c r="C425" t="s">
        <v>260</v>
      </c>
      <c r="D425">
        <v>2020</v>
      </c>
      <c r="E425">
        <v>2557.9699999999998</v>
      </c>
      <c r="F425" t="str">
        <f>VLOOKUP(B425,'Facility List'!$B$2:$E$156,3,0)</f>
        <v>Region 8</v>
      </c>
    </row>
    <row r="426" spans="1:6" x14ac:dyDescent="0.25">
      <c r="A426" t="s">
        <v>258</v>
      </c>
      <c r="B426" t="s">
        <v>259</v>
      </c>
      <c r="C426" t="s">
        <v>260</v>
      </c>
      <c r="D426">
        <v>2021</v>
      </c>
      <c r="E426">
        <v>1312.56</v>
      </c>
      <c r="F426" t="str">
        <f>VLOOKUP(B426,'Facility List'!$B$2:$E$156,3,0)</f>
        <v>Region 8</v>
      </c>
    </row>
    <row r="427" spans="1:6" x14ac:dyDescent="0.25">
      <c r="A427" t="s">
        <v>261</v>
      </c>
      <c r="B427" t="s">
        <v>262</v>
      </c>
      <c r="C427" t="s">
        <v>263</v>
      </c>
      <c r="D427">
        <v>2017</v>
      </c>
      <c r="E427">
        <v>3578.54</v>
      </c>
      <c r="F427" t="str">
        <f>VLOOKUP(B427,'Facility List'!$B$2:$E$156,3,0)</f>
        <v>Region 8</v>
      </c>
    </row>
    <row r="428" spans="1:6" x14ac:dyDescent="0.25">
      <c r="A428" t="s">
        <v>261</v>
      </c>
      <c r="B428" t="s">
        <v>262</v>
      </c>
      <c r="C428" t="s">
        <v>263</v>
      </c>
      <c r="D428">
        <v>2018</v>
      </c>
      <c r="E428">
        <v>3624</v>
      </c>
      <c r="F428" t="str">
        <f>VLOOKUP(B428,'Facility List'!$B$2:$E$156,3,0)</f>
        <v>Region 8</v>
      </c>
    </row>
    <row r="429" spans="1:6" x14ac:dyDescent="0.25">
      <c r="A429" t="s">
        <v>261</v>
      </c>
      <c r="B429" t="s">
        <v>262</v>
      </c>
      <c r="C429" t="s">
        <v>263</v>
      </c>
      <c r="D429">
        <v>2019</v>
      </c>
      <c r="E429">
        <v>5204</v>
      </c>
      <c r="F429" t="str">
        <f>VLOOKUP(B429,'Facility List'!$B$2:$E$156,3,0)</f>
        <v>Region 8</v>
      </c>
    </row>
    <row r="430" spans="1:6" x14ac:dyDescent="0.25">
      <c r="A430" t="s">
        <v>261</v>
      </c>
      <c r="B430" t="s">
        <v>262</v>
      </c>
      <c r="C430" t="s">
        <v>263</v>
      </c>
      <c r="D430">
        <v>2020</v>
      </c>
      <c r="E430">
        <v>5882</v>
      </c>
      <c r="F430" t="str">
        <f>VLOOKUP(B430,'Facility List'!$B$2:$E$156,3,0)</f>
        <v>Region 8</v>
      </c>
    </row>
    <row r="431" spans="1:6" x14ac:dyDescent="0.25">
      <c r="A431" t="s">
        <v>261</v>
      </c>
      <c r="B431" t="s">
        <v>262</v>
      </c>
      <c r="C431" t="s">
        <v>263</v>
      </c>
      <c r="D431">
        <v>2021</v>
      </c>
      <c r="E431">
        <v>5078</v>
      </c>
      <c r="F431" t="str">
        <f>VLOOKUP(B431,'Facility List'!$B$2:$E$156,3,0)</f>
        <v>Region 8</v>
      </c>
    </row>
    <row r="432" spans="1:6" x14ac:dyDescent="0.25">
      <c r="A432" t="s">
        <v>264</v>
      </c>
      <c r="B432" t="s">
        <v>265</v>
      </c>
      <c r="C432" t="s">
        <v>266</v>
      </c>
      <c r="D432">
        <v>2017</v>
      </c>
      <c r="F432" t="str">
        <f>VLOOKUP(B432,'Facility List'!$B$2:$E$156,3,0)</f>
        <v>Region 8</v>
      </c>
    </row>
    <row r="433" spans="1:6" x14ac:dyDescent="0.25">
      <c r="A433" t="s">
        <v>264</v>
      </c>
      <c r="B433" t="s">
        <v>265</v>
      </c>
      <c r="C433" t="s">
        <v>266</v>
      </c>
      <c r="D433">
        <v>2018</v>
      </c>
      <c r="F433" t="str">
        <f>VLOOKUP(B433,'Facility List'!$B$2:$E$156,3,0)</f>
        <v>Region 8</v>
      </c>
    </row>
    <row r="434" spans="1:6" x14ac:dyDescent="0.25">
      <c r="A434" t="s">
        <v>264</v>
      </c>
      <c r="B434" t="s">
        <v>265</v>
      </c>
      <c r="C434" t="s">
        <v>266</v>
      </c>
      <c r="D434">
        <v>2019</v>
      </c>
      <c r="F434" t="str">
        <f>VLOOKUP(B434,'Facility List'!$B$2:$E$156,3,0)</f>
        <v>Region 8</v>
      </c>
    </row>
    <row r="435" spans="1:6" x14ac:dyDescent="0.25">
      <c r="A435" t="s">
        <v>264</v>
      </c>
      <c r="B435" t="s">
        <v>265</v>
      </c>
      <c r="C435" t="s">
        <v>266</v>
      </c>
      <c r="D435">
        <v>2020</v>
      </c>
      <c r="F435" t="str">
        <f>VLOOKUP(B435,'Facility List'!$B$2:$E$156,3,0)</f>
        <v>Region 8</v>
      </c>
    </row>
    <row r="436" spans="1:6" x14ac:dyDescent="0.25">
      <c r="A436" t="s">
        <v>264</v>
      </c>
      <c r="B436" t="s">
        <v>265</v>
      </c>
      <c r="C436" t="s">
        <v>266</v>
      </c>
      <c r="D436">
        <v>2021</v>
      </c>
      <c r="E436">
        <v>1609.75</v>
      </c>
      <c r="F436" t="str">
        <f>VLOOKUP(B436,'Facility List'!$B$2:$E$156,3,0)</f>
        <v>Region 8</v>
      </c>
    </row>
    <row r="437" spans="1:6" x14ac:dyDescent="0.25">
      <c r="A437" t="s">
        <v>267</v>
      </c>
      <c r="B437" t="s">
        <v>268</v>
      </c>
      <c r="C437" t="s">
        <v>269</v>
      </c>
      <c r="D437">
        <v>2017</v>
      </c>
      <c r="E437">
        <v>139808</v>
      </c>
      <c r="F437" t="str">
        <f>VLOOKUP(B437,'Facility List'!$B$2:$E$156,3,0)</f>
        <v>Region 8</v>
      </c>
    </row>
    <row r="438" spans="1:6" x14ac:dyDescent="0.25">
      <c r="A438" t="s">
        <v>267</v>
      </c>
      <c r="B438" t="s">
        <v>268</v>
      </c>
      <c r="C438" t="s">
        <v>269</v>
      </c>
      <c r="D438">
        <v>2018</v>
      </c>
      <c r="E438">
        <v>132660</v>
      </c>
      <c r="F438" t="str">
        <f>VLOOKUP(B438,'Facility List'!$B$2:$E$156,3,0)</f>
        <v>Region 8</v>
      </c>
    </row>
    <row r="439" spans="1:6" x14ac:dyDescent="0.25">
      <c r="A439" t="s">
        <v>267</v>
      </c>
      <c r="B439" t="s">
        <v>268</v>
      </c>
      <c r="C439" t="s">
        <v>269</v>
      </c>
      <c r="D439">
        <v>2019</v>
      </c>
      <c r="E439">
        <v>134098</v>
      </c>
      <c r="F439" t="str">
        <f>VLOOKUP(B439,'Facility List'!$B$2:$E$156,3,0)</f>
        <v>Region 8</v>
      </c>
    </row>
    <row r="440" spans="1:6" x14ac:dyDescent="0.25">
      <c r="A440" t="s">
        <v>267</v>
      </c>
      <c r="B440" t="s">
        <v>268</v>
      </c>
      <c r="C440" t="s">
        <v>269</v>
      </c>
      <c r="D440">
        <v>2020</v>
      </c>
      <c r="E440">
        <v>147068</v>
      </c>
      <c r="F440" t="str">
        <f>VLOOKUP(B440,'Facility List'!$B$2:$E$156,3,0)</f>
        <v>Region 8</v>
      </c>
    </row>
    <row r="441" spans="1:6" x14ac:dyDescent="0.25">
      <c r="A441" t="s">
        <v>267</v>
      </c>
      <c r="B441" t="s">
        <v>268</v>
      </c>
      <c r="C441" t="s">
        <v>269</v>
      </c>
      <c r="D441">
        <v>2021</v>
      </c>
      <c r="E441">
        <v>134341</v>
      </c>
      <c r="F441" t="str">
        <f>VLOOKUP(B441,'Facility List'!$B$2:$E$156,3,0)</f>
        <v>Region 8</v>
      </c>
    </row>
    <row r="442" spans="1:6" x14ac:dyDescent="0.25">
      <c r="A442" t="s">
        <v>270</v>
      </c>
      <c r="B442" t="s">
        <v>271</v>
      </c>
      <c r="C442" t="s">
        <v>272</v>
      </c>
      <c r="D442">
        <v>2017</v>
      </c>
      <c r="E442">
        <v>3310</v>
      </c>
      <c r="F442" t="str">
        <f>VLOOKUP(B442,'Facility List'!$B$2:$E$156,3,0)</f>
        <v>Region 8</v>
      </c>
    </row>
    <row r="443" spans="1:6" x14ac:dyDescent="0.25">
      <c r="A443" t="s">
        <v>270</v>
      </c>
      <c r="B443" t="s">
        <v>271</v>
      </c>
      <c r="C443" t="s">
        <v>272</v>
      </c>
      <c r="D443">
        <v>2018</v>
      </c>
      <c r="E443">
        <v>3419</v>
      </c>
      <c r="F443" t="str">
        <f>VLOOKUP(B443,'Facility List'!$B$2:$E$156,3,0)</f>
        <v>Region 8</v>
      </c>
    </row>
    <row r="444" spans="1:6" x14ac:dyDescent="0.25">
      <c r="A444" t="s">
        <v>270</v>
      </c>
      <c r="B444" t="s">
        <v>271</v>
      </c>
      <c r="C444" t="s">
        <v>272</v>
      </c>
      <c r="D444">
        <v>2019</v>
      </c>
      <c r="E444">
        <v>3740</v>
      </c>
      <c r="F444" t="str">
        <f>VLOOKUP(B444,'Facility List'!$B$2:$E$156,3,0)</f>
        <v>Region 8</v>
      </c>
    </row>
    <row r="445" spans="1:6" x14ac:dyDescent="0.25">
      <c r="A445" t="s">
        <v>270</v>
      </c>
      <c r="B445" t="s">
        <v>271</v>
      </c>
      <c r="C445" t="s">
        <v>272</v>
      </c>
      <c r="D445">
        <v>2020</v>
      </c>
      <c r="E445">
        <v>3314</v>
      </c>
      <c r="F445" t="str">
        <f>VLOOKUP(B445,'Facility List'!$B$2:$E$156,3,0)</f>
        <v>Region 8</v>
      </c>
    </row>
    <row r="446" spans="1:6" x14ac:dyDescent="0.25">
      <c r="A446" t="s">
        <v>270</v>
      </c>
      <c r="B446" t="s">
        <v>271</v>
      </c>
      <c r="C446" t="s">
        <v>272</v>
      </c>
      <c r="D446">
        <v>2021</v>
      </c>
      <c r="E446">
        <v>3091</v>
      </c>
      <c r="F446" t="str">
        <f>VLOOKUP(B446,'Facility List'!$B$2:$E$156,3,0)</f>
        <v>Region 8</v>
      </c>
    </row>
    <row r="447" spans="1:6" x14ac:dyDescent="0.25">
      <c r="A447" t="s">
        <v>273</v>
      </c>
      <c r="B447" t="s">
        <v>274</v>
      </c>
      <c r="C447" t="s">
        <v>275</v>
      </c>
      <c r="D447">
        <v>2017</v>
      </c>
      <c r="E447">
        <v>21704</v>
      </c>
      <c r="F447" t="str">
        <f>VLOOKUP(B447,'Facility List'!$B$2:$E$156,3,0)</f>
        <v>Region 9</v>
      </c>
    </row>
    <row r="448" spans="1:6" x14ac:dyDescent="0.25">
      <c r="A448" t="s">
        <v>273</v>
      </c>
      <c r="B448" t="s">
        <v>274</v>
      </c>
      <c r="C448" t="s">
        <v>275</v>
      </c>
      <c r="D448">
        <v>2018</v>
      </c>
      <c r="E448">
        <v>21565</v>
      </c>
      <c r="F448" t="str">
        <f>VLOOKUP(B448,'Facility List'!$B$2:$E$156,3,0)</f>
        <v>Region 9</v>
      </c>
    </row>
    <row r="449" spans="1:6" x14ac:dyDescent="0.25">
      <c r="A449" t="s">
        <v>273</v>
      </c>
      <c r="B449" t="s">
        <v>274</v>
      </c>
      <c r="C449" t="s">
        <v>275</v>
      </c>
      <c r="D449">
        <v>2019</v>
      </c>
      <c r="E449">
        <v>23123</v>
      </c>
      <c r="F449" t="str">
        <f>VLOOKUP(B449,'Facility List'!$B$2:$E$156,3,0)</f>
        <v>Region 9</v>
      </c>
    </row>
    <row r="450" spans="1:6" x14ac:dyDescent="0.25">
      <c r="A450" t="s">
        <v>273</v>
      </c>
      <c r="B450" t="s">
        <v>274</v>
      </c>
      <c r="C450" t="s">
        <v>275</v>
      </c>
      <c r="D450">
        <v>2020</v>
      </c>
      <c r="E450">
        <v>26335</v>
      </c>
      <c r="F450" t="str">
        <f>VLOOKUP(B450,'Facility List'!$B$2:$E$156,3,0)</f>
        <v>Region 9</v>
      </c>
    </row>
    <row r="451" spans="1:6" x14ac:dyDescent="0.25">
      <c r="A451" t="s">
        <v>273</v>
      </c>
      <c r="B451" t="s">
        <v>274</v>
      </c>
      <c r="C451" t="s">
        <v>275</v>
      </c>
      <c r="D451">
        <v>2021</v>
      </c>
      <c r="E451">
        <v>28984.9</v>
      </c>
      <c r="F451" t="str">
        <f>VLOOKUP(B451,'Facility List'!$B$2:$E$156,3,0)</f>
        <v>Region 9</v>
      </c>
    </row>
    <row r="452" spans="1:6" x14ac:dyDescent="0.25">
      <c r="A452" t="s">
        <v>276</v>
      </c>
      <c r="B452" t="s">
        <v>277</v>
      </c>
      <c r="C452" t="s">
        <v>278</v>
      </c>
      <c r="D452">
        <v>2017</v>
      </c>
      <c r="E452">
        <v>38660.19</v>
      </c>
      <c r="F452" t="str">
        <f>VLOOKUP(B452,'Facility List'!$B$2:$E$156,3,0)</f>
        <v>Region 9</v>
      </c>
    </row>
    <row r="453" spans="1:6" x14ac:dyDescent="0.25">
      <c r="A453" t="s">
        <v>276</v>
      </c>
      <c r="B453" t="s">
        <v>277</v>
      </c>
      <c r="C453" t="s">
        <v>278</v>
      </c>
      <c r="D453">
        <v>2018</v>
      </c>
      <c r="E453">
        <v>36409.019999999997</v>
      </c>
      <c r="F453" t="str">
        <f>VLOOKUP(B453,'Facility List'!$B$2:$E$156,3,0)</f>
        <v>Region 9</v>
      </c>
    </row>
    <row r="454" spans="1:6" x14ac:dyDescent="0.25">
      <c r="A454" t="s">
        <v>276</v>
      </c>
      <c r="B454" t="s">
        <v>277</v>
      </c>
      <c r="C454" t="s">
        <v>278</v>
      </c>
      <c r="D454">
        <v>2019</v>
      </c>
      <c r="E454">
        <v>44255.49</v>
      </c>
      <c r="F454" t="str">
        <f>VLOOKUP(B454,'Facility List'!$B$2:$E$156,3,0)</f>
        <v>Region 9</v>
      </c>
    </row>
    <row r="455" spans="1:6" x14ac:dyDescent="0.25">
      <c r="A455" t="s">
        <v>276</v>
      </c>
      <c r="B455" t="s">
        <v>277</v>
      </c>
      <c r="C455" t="s">
        <v>278</v>
      </c>
      <c r="D455">
        <v>2020</v>
      </c>
      <c r="E455">
        <v>52230.879999999997</v>
      </c>
      <c r="F455" t="str">
        <f>VLOOKUP(B455,'Facility List'!$B$2:$E$156,3,0)</f>
        <v>Region 9</v>
      </c>
    </row>
    <row r="456" spans="1:6" x14ac:dyDescent="0.25">
      <c r="A456" t="s">
        <v>276</v>
      </c>
      <c r="B456" t="s">
        <v>277</v>
      </c>
      <c r="C456" t="s">
        <v>278</v>
      </c>
      <c r="D456">
        <v>2021</v>
      </c>
      <c r="E456">
        <v>53092</v>
      </c>
      <c r="F456" t="str">
        <f>VLOOKUP(B456,'Facility List'!$B$2:$E$156,3,0)</f>
        <v>Region 9</v>
      </c>
    </row>
    <row r="457" spans="1:6" x14ac:dyDescent="0.25">
      <c r="A457" t="s">
        <v>280</v>
      </c>
      <c r="B457" t="s">
        <v>281</v>
      </c>
      <c r="C457" t="s">
        <v>282</v>
      </c>
      <c r="D457">
        <v>2017</v>
      </c>
      <c r="E457">
        <v>17785.63</v>
      </c>
      <c r="F457" t="str">
        <f>VLOOKUP(B457,'Facility List'!$B$2:$E$156,3,0)</f>
        <v>Region 9</v>
      </c>
    </row>
    <row r="458" spans="1:6" x14ac:dyDescent="0.25">
      <c r="A458" t="s">
        <v>280</v>
      </c>
      <c r="B458" t="s">
        <v>281</v>
      </c>
      <c r="C458" t="s">
        <v>282</v>
      </c>
      <c r="D458">
        <v>2018</v>
      </c>
      <c r="E458">
        <v>19828.04</v>
      </c>
      <c r="F458" t="str">
        <f>VLOOKUP(B458,'Facility List'!$B$2:$E$156,3,0)</f>
        <v>Region 9</v>
      </c>
    </row>
    <row r="459" spans="1:6" x14ac:dyDescent="0.25">
      <c r="A459" t="s">
        <v>280</v>
      </c>
      <c r="B459" t="s">
        <v>281</v>
      </c>
      <c r="C459" t="s">
        <v>282</v>
      </c>
      <c r="D459">
        <v>2019</v>
      </c>
      <c r="E459">
        <v>20776.669999999998</v>
      </c>
      <c r="F459" t="str">
        <f>VLOOKUP(B459,'Facility List'!$B$2:$E$156,3,0)</f>
        <v>Region 9</v>
      </c>
    </row>
    <row r="460" spans="1:6" x14ac:dyDescent="0.25">
      <c r="A460" t="s">
        <v>280</v>
      </c>
      <c r="B460" t="s">
        <v>281</v>
      </c>
      <c r="C460" t="s">
        <v>282</v>
      </c>
      <c r="D460">
        <v>2020</v>
      </c>
      <c r="E460">
        <v>20310.86</v>
      </c>
      <c r="F460" t="str">
        <f>VLOOKUP(B460,'Facility List'!$B$2:$E$156,3,0)</f>
        <v>Region 9</v>
      </c>
    </row>
    <row r="461" spans="1:6" x14ac:dyDescent="0.25">
      <c r="A461" t="s">
        <v>280</v>
      </c>
      <c r="B461" t="s">
        <v>281</v>
      </c>
      <c r="C461" t="s">
        <v>282</v>
      </c>
      <c r="D461">
        <v>2021</v>
      </c>
      <c r="E461">
        <v>30792.32</v>
      </c>
      <c r="F461" t="str">
        <f>VLOOKUP(B461,'Facility List'!$B$2:$E$156,3,0)</f>
        <v>Region 9</v>
      </c>
    </row>
    <row r="462" spans="1:6" x14ac:dyDescent="0.25">
      <c r="A462" t="s">
        <v>283</v>
      </c>
      <c r="B462" t="s">
        <v>284</v>
      </c>
      <c r="C462" t="s">
        <v>285</v>
      </c>
      <c r="D462">
        <v>2017</v>
      </c>
      <c r="E462">
        <v>337629</v>
      </c>
      <c r="F462" t="str">
        <f>VLOOKUP(B462,'Facility List'!$B$2:$E$156,3,0)</f>
        <v>Region 9</v>
      </c>
    </row>
    <row r="463" spans="1:6" x14ac:dyDescent="0.25">
      <c r="A463" t="s">
        <v>283</v>
      </c>
      <c r="B463" t="s">
        <v>284</v>
      </c>
      <c r="C463" t="s">
        <v>285</v>
      </c>
      <c r="D463">
        <v>2018</v>
      </c>
      <c r="E463">
        <v>362232.73</v>
      </c>
      <c r="F463" t="str">
        <f>VLOOKUP(B463,'Facility List'!$B$2:$E$156,3,0)</f>
        <v>Region 9</v>
      </c>
    </row>
    <row r="464" spans="1:6" x14ac:dyDescent="0.25">
      <c r="A464" t="s">
        <v>283</v>
      </c>
      <c r="B464" t="s">
        <v>284</v>
      </c>
      <c r="C464" t="s">
        <v>285</v>
      </c>
      <c r="D464">
        <v>2019</v>
      </c>
      <c r="E464">
        <v>346066.1</v>
      </c>
      <c r="F464" t="str">
        <f>VLOOKUP(B464,'Facility List'!$B$2:$E$156,3,0)</f>
        <v>Region 9</v>
      </c>
    </row>
    <row r="465" spans="1:6" x14ac:dyDescent="0.25">
      <c r="A465" t="s">
        <v>283</v>
      </c>
      <c r="B465" t="s">
        <v>284</v>
      </c>
      <c r="C465" t="s">
        <v>285</v>
      </c>
      <c r="D465">
        <v>2020</v>
      </c>
      <c r="E465">
        <v>352916.6</v>
      </c>
      <c r="F465" t="str">
        <f>VLOOKUP(B465,'Facility List'!$B$2:$E$156,3,0)</f>
        <v>Region 9</v>
      </c>
    </row>
    <row r="466" spans="1:6" x14ac:dyDescent="0.25">
      <c r="A466" t="s">
        <v>283</v>
      </c>
      <c r="B466" t="s">
        <v>284</v>
      </c>
      <c r="C466" t="s">
        <v>285</v>
      </c>
      <c r="D466">
        <v>2021</v>
      </c>
      <c r="E466">
        <v>441665.45</v>
      </c>
      <c r="F466" t="str">
        <f>VLOOKUP(B466,'Facility List'!$B$2:$E$156,3,0)</f>
        <v>Region 9</v>
      </c>
    </row>
    <row r="467" spans="1:6" x14ac:dyDescent="0.25">
      <c r="A467" t="s">
        <v>286</v>
      </c>
      <c r="B467" t="s">
        <v>287</v>
      </c>
      <c r="C467" t="s">
        <v>288</v>
      </c>
      <c r="D467">
        <v>2017</v>
      </c>
      <c r="E467">
        <v>32162</v>
      </c>
      <c r="F467" t="str">
        <f>VLOOKUP(B467,'Facility List'!$B$2:$E$156,3,0)</f>
        <v>Region 9</v>
      </c>
    </row>
    <row r="468" spans="1:6" x14ac:dyDescent="0.25">
      <c r="A468" t="s">
        <v>286</v>
      </c>
      <c r="B468" t="s">
        <v>287</v>
      </c>
      <c r="C468" t="s">
        <v>288</v>
      </c>
      <c r="D468">
        <v>2018</v>
      </c>
      <c r="E468">
        <v>54444</v>
      </c>
      <c r="F468" t="str">
        <f>VLOOKUP(B468,'Facility List'!$B$2:$E$156,3,0)</f>
        <v>Region 9</v>
      </c>
    </row>
    <row r="469" spans="1:6" x14ac:dyDescent="0.25">
      <c r="A469" t="s">
        <v>286</v>
      </c>
      <c r="B469" t="s">
        <v>287</v>
      </c>
      <c r="C469" t="s">
        <v>288</v>
      </c>
      <c r="D469">
        <v>2019</v>
      </c>
      <c r="E469">
        <v>73767</v>
      </c>
      <c r="F469" t="str">
        <f>VLOOKUP(B469,'Facility List'!$B$2:$E$156,3,0)</f>
        <v>Region 9</v>
      </c>
    </row>
    <row r="470" spans="1:6" x14ac:dyDescent="0.25">
      <c r="A470" t="s">
        <v>286</v>
      </c>
      <c r="B470" t="s">
        <v>287</v>
      </c>
      <c r="C470" t="s">
        <v>288</v>
      </c>
      <c r="D470">
        <v>2020</v>
      </c>
      <c r="E470">
        <v>77359</v>
      </c>
      <c r="F470" t="str">
        <f>VLOOKUP(B470,'Facility List'!$B$2:$E$156,3,0)</f>
        <v>Region 9</v>
      </c>
    </row>
    <row r="471" spans="1:6" x14ac:dyDescent="0.25">
      <c r="A471" t="s">
        <v>286</v>
      </c>
      <c r="B471" t="s">
        <v>287</v>
      </c>
      <c r="C471" t="s">
        <v>288</v>
      </c>
      <c r="D471">
        <v>2021</v>
      </c>
      <c r="E471">
        <v>88436.87</v>
      </c>
      <c r="F471" t="str">
        <f>VLOOKUP(B471,'Facility List'!$B$2:$E$156,3,0)</f>
        <v>Region 9</v>
      </c>
    </row>
    <row r="472" spans="1:6" x14ac:dyDescent="0.25">
      <c r="A472" t="s">
        <v>289</v>
      </c>
      <c r="B472" t="s">
        <v>290</v>
      </c>
      <c r="C472" t="s">
        <v>291</v>
      </c>
      <c r="D472">
        <v>2017</v>
      </c>
      <c r="E472">
        <v>284113.15000000002</v>
      </c>
      <c r="F472" t="str">
        <f>VLOOKUP(B472,'Facility List'!$B$2:$E$156,3,0)</f>
        <v>Region 9</v>
      </c>
    </row>
    <row r="473" spans="1:6" x14ac:dyDescent="0.25">
      <c r="A473" t="s">
        <v>289</v>
      </c>
      <c r="B473" t="s">
        <v>290</v>
      </c>
      <c r="C473" t="s">
        <v>291</v>
      </c>
      <c r="D473">
        <v>2018</v>
      </c>
      <c r="E473">
        <v>280737.43</v>
      </c>
      <c r="F473" t="str">
        <f>VLOOKUP(B473,'Facility List'!$B$2:$E$156,3,0)</f>
        <v>Region 9</v>
      </c>
    </row>
    <row r="474" spans="1:6" x14ac:dyDescent="0.25">
      <c r="A474" t="s">
        <v>289</v>
      </c>
      <c r="B474" t="s">
        <v>290</v>
      </c>
      <c r="C474" t="s">
        <v>291</v>
      </c>
      <c r="D474">
        <v>2019</v>
      </c>
      <c r="E474">
        <v>312179.84000000003</v>
      </c>
      <c r="F474" t="str">
        <f>VLOOKUP(B474,'Facility List'!$B$2:$E$156,3,0)</f>
        <v>Region 9</v>
      </c>
    </row>
    <row r="475" spans="1:6" x14ac:dyDescent="0.25">
      <c r="A475" t="s">
        <v>289</v>
      </c>
      <c r="B475" t="s">
        <v>290</v>
      </c>
      <c r="C475" t="s">
        <v>291</v>
      </c>
      <c r="D475">
        <v>2020</v>
      </c>
      <c r="E475">
        <v>323311.3</v>
      </c>
      <c r="F475" t="str">
        <f>VLOOKUP(B475,'Facility List'!$B$2:$E$156,3,0)</f>
        <v>Region 9</v>
      </c>
    </row>
    <row r="476" spans="1:6" x14ac:dyDescent="0.25">
      <c r="A476" t="s">
        <v>289</v>
      </c>
      <c r="B476" t="s">
        <v>290</v>
      </c>
      <c r="C476" t="s">
        <v>291</v>
      </c>
      <c r="D476">
        <v>2021</v>
      </c>
      <c r="E476">
        <v>353555.84</v>
      </c>
      <c r="F476" t="str">
        <f>VLOOKUP(B476,'Facility List'!$B$2:$E$156,3,0)</f>
        <v>Region 9</v>
      </c>
    </row>
    <row r="477" spans="1:6" x14ac:dyDescent="0.25">
      <c r="A477" t="s">
        <v>292</v>
      </c>
      <c r="B477" t="s">
        <v>293</v>
      </c>
      <c r="C477" t="s">
        <v>294</v>
      </c>
      <c r="D477">
        <v>2017</v>
      </c>
      <c r="E477">
        <v>229944</v>
      </c>
      <c r="F477" t="str">
        <f>VLOOKUP(B477,'Facility List'!$B$2:$E$156,3,0)</f>
        <v>Region 9</v>
      </c>
    </row>
    <row r="478" spans="1:6" x14ac:dyDescent="0.25">
      <c r="A478" t="s">
        <v>292</v>
      </c>
      <c r="B478" t="s">
        <v>293</v>
      </c>
      <c r="C478" t="s">
        <v>294</v>
      </c>
      <c r="D478">
        <v>2018</v>
      </c>
      <c r="E478">
        <v>234745</v>
      </c>
      <c r="F478" t="str">
        <f>VLOOKUP(B478,'Facility List'!$B$2:$E$156,3,0)</f>
        <v>Region 9</v>
      </c>
    </row>
    <row r="479" spans="1:6" x14ac:dyDescent="0.25">
      <c r="A479" t="s">
        <v>292</v>
      </c>
      <c r="B479" t="s">
        <v>293</v>
      </c>
      <c r="C479" t="s">
        <v>294</v>
      </c>
      <c r="D479">
        <v>2019</v>
      </c>
      <c r="E479">
        <v>229296.33</v>
      </c>
      <c r="F479" t="str">
        <f>VLOOKUP(B479,'Facility List'!$B$2:$E$156,3,0)</f>
        <v>Region 9</v>
      </c>
    </row>
    <row r="480" spans="1:6" x14ac:dyDescent="0.25">
      <c r="A480" t="s">
        <v>292</v>
      </c>
      <c r="B480" t="s">
        <v>293</v>
      </c>
      <c r="C480" t="s">
        <v>294</v>
      </c>
      <c r="D480">
        <v>2020</v>
      </c>
      <c r="E480">
        <v>221643.37</v>
      </c>
      <c r="F480" t="str">
        <f>VLOOKUP(B480,'Facility List'!$B$2:$E$156,3,0)</f>
        <v>Region 9</v>
      </c>
    </row>
    <row r="481" spans="1:6" x14ac:dyDescent="0.25">
      <c r="A481" t="s">
        <v>292</v>
      </c>
      <c r="B481" t="s">
        <v>293</v>
      </c>
      <c r="C481" t="s">
        <v>294</v>
      </c>
      <c r="D481">
        <v>2021</v>
      </c>
      <c r="E481">
        <v>232022.1</v>
      </c>
      <c r="F481" t="str">
        <f>VLOOKUP(B481,'Facility List'!$B$2:$E$156,3,0)</f>
        <v>Region 9</v>
      </c>
    </row>
    <row r="482" spans="1:6" x14ac:dyDescent="0.25">
      <c r="A482" t="s">
        <v>295</v>
      </c>
      <c r="B482" t="s">
        <v>296</v>
      </c>
      <c r="C482" t="s">
        <v>297</v>
      </c>
      <c r="D482">
        <v>2017</v>
      </c>
      <c r="E482">
        <v>107507.63</v>
      </c>
      <c r="F482" t="str">
        <f>VLOOKUP(B482,'Facility List'!$B$2:$E$156,3,0)</f>
        <v>Region 10</v>
      </c>
    </row>
    <row r="483" spans="1:6" x14ac:dyDescent="0.25">
      <c r="A483" t="s">
        <v>295</v>
      </c>
      <c r="B483" t="s">
        <v>296</v>
      </c>
      <c r="C483" t="s">
        <v>297</v>
      </c>
      <c r="D483">
        <v>2018</v>
      </c>
      <c r="E483">
        <v>166251.70000000001</v>
      </c>
      <c r="F483" t="str">
        <f>VLOOKUP(B483,'Facility List'!$B$2:$E$156,3,0)</f>
        <v>Region 10</v>
      </c>
    </row>
    <row r="484" spans="1:6" x14ac:dyDescent="0.25">
      <c r="A484" t="s">
        <v>295</v>
      </c>
      <c r="B484" t="s">
        <v>296</v>
      </c>
      <c r="C484" t="s">
        <v>297</v>
      </c>
      <c r="D484">
        <v>2019</v>
      </c>
      <c r="E484">
        <v>174097.54</v>
      </c>
      <c r="F484" t="str">
        <f>VLOOKUP(B484,'Facility List'!$B$2:$E$156,3,0)</f>
        <v>Region 10</v>
      </c>
    </row>
    <row r="485" spans="1:6" x14ac:dyDescent="0.25">
      <c r="A485" t="s">
        <v>295</v>
      </c>
      <c r="B485" t="s">
        <v>296</v>
      </c>
      <c r="C485" t="s">
        <v>297</v>
      </c>
      <c r="D485">
        <v>2020</v>
      </c>
      <c r="E485">
        <v>264113.77</v>
      </c>
      <c r="F485" t="str">
        <f>VLOOKUP(B485,'Facility List'!$B$2:$E$156,3,0)</f>
        <v>Region 10</v>
      </c>
    </row>
    <row r="486" spans="1:6" x14ac:dyDescent="0.25">
      <c r="A486" t="s">
        <v>295</v>
      </c>
      <c r="B486" t="s">
        <v>296</v>
      </c>
      <c r="C486" t="s">
        <v>297</v>
      </c>
      <c r="D486">
        <v>2021</v>
      </c>
      <c r="E486">
        <v>310506</v>
      </c>
      <c r="F486" t="str">
        <f>VLOOKUP(B486,'Facility List'!$B$2:$E$156,3,0)</f>
        <v>Region 10</v>
      </c>
    </row>
    <row r="487" spans="1:6" x14ac:dyDescent="0.25">
      <c r="A487" t="s">
        <v>298</v>
      </c>
      <c r="B487" t="s">
        <v>299</v>
      </c>
      <c r="C487" t="s">
        <v>300</v>
      </c>
      <c r="D487">
        <v>2017</v>
      </c>
      <c r="E487">
        <v>160634</v>
      </c>
      <c r="F487" t="str">
        <f>VLOOKUP(B487,'Facility List'!$B$2:$E$156,3,0)</f>
        <v>Region 10</v>
      </c>
    </row>
    <row r="488" spans="1:6" x14ac:dyDescent="0.25">
      <c r="A488" t="s">
        <v>298</v>
      </c>
      <c r="B488" t="s">
        <v>299</v>
      </c>
      <c r="C488" t="s">
        <v>300</v>
      </c>
      <c r="D488">
        <v>2018</v>
      </c>
      <c r="E488">
        <v>220801</v>
      </c>
      <c r="F488" t="str">
        <f>VLOOKUP(B488,'Facility List'!$B$2:$E$156,3,0)</f>
        <v>Region 10</v>
      </c>
    </row>
    <row r="489" spans="1:6" x14ac:dyDescent="0.25">
      <c r="A489" t="s">
        <v>298</v>
      </c>
      <c r="B489" t="s">
        <v>299</v>
      </c>
      <c r="C489" t="s">
        <v>300</v>
      </c>
      <c r="D489">
        <v>2019</v>
      </c>
      <c r="E489">
        <v>127779</v>
      </c>
      <c r="F489" t="str">
        <f>VLOOKUP(B489,'Facility List'!$B$2:$E$156,3,0)</f>
        <v>Region 10</v>
      </c>
    </row>
    <row r="490" spans="1:6" x14ac:dyDescent="0.25">
      <c r="A490" t="s">
        <v>298</v>
      </c>
      <c r="B490" t="s">
        <v>299</v>
      </c>
      <c r="C490" t="s">
        <v>300</v>
      </c>
      <c r="D490">
        <v>2020</v>
      </c>
      <c r="E490">
        <v>125867.16</v>
      </c>
      <c r="F490" t="str">
        <f>VLOOKUP(B490,'Facility List'!$B$2:$E$156,3,0)</f>
        <v>Region 10</v>
      </c>
    </row>
    <row r="491" spans="1:6" x14ac:dyDescent="0.25">
      <c r="A491" t="s">
        <v>298</v>
      </c>
      <c r="B491" t="s">
        <v>299</v>
      </c>
      <c r="C491" t="s">
        <v>300</v>
      </c>
      <c r="D491">
        <v>2021</v>
      </c>
      <c r="E491">
        <v>143236.75</v>
      </c>
      <c r="F491" t="str">
        <f>VLOOKUP(B491,'Facility List'!$B$2:$E$156,3,0)</f>
        <v>Region 10</v>
      </c>
    </row>
    <row r="492" spans="1:6" x14ac:dyDescent="0.25">
      <c r="A492" t="s">
        <v>301</v>
      </c>
      <c r="B492" t="s">
        <v>302</v>
      </c>
      <c r="C492" t="s">
        <v>303</v>
      </c>
      <c r="D492">
        <v>2017</v>
      </c>
      <c r="E492">
        <v>91992</v>
      </c>
      <c r="F492" t="str">
        <f>VLOOKUP(B492,'Facility List'!$B$2:$E$156,3,0)</f>
        <v>Region 10</v>
      </c>
    </row>
    <row r="493" spans="1:6" x14ac:dyDescent="0.25">
      <c r="A493" t="s">
        <v>301</v>
      </c>
      <c r="B493" t="s">
        <v>302</v>
      </c>
      <c r="C493" t="s">
        <v>303</v>
      </c>
      <c r="D493">
        <v>2018</v>
      </c>
      <c r="E493">
        <v>102191</v>
      </c>
      <c r="F493" t="str">
        <f>VLOOKUP(B493,'Facility List'!$B$2:$E$156,3,0)</f>
        <v>Region 10</v>
      </c>
    </row>
    <row r="494" spans="1:6" x14ac:dyDescent="0.25">
      <c r="A494" t="s">
        <v>301</v>
      </c>
      <c r="B494" t="s">
        <v>302</v>
      </c>
      <c r="C494" t="s">
        <v>303</v>
      </c>
      <c r="D494">
        <v>2019</v>
      </c>
      <c r="E494">
        <v>118126</v>
      </c>
      <c r="F494" t="str">
        <f>VLOOKUP(B494,'Facility List'!$B$2:$E$156,3,0)</f>
        <v>Region 10</v>
      </c>
    </row>
    <row r="495" spans="1:6" x14ac:dyDescent="0.25">
      <c r="A495" t="s">
        <v>301</v>
      </c>
      <c r="B495" t="s">
        <v>302</v>
      </c>
      <c r="C495" t="s">
        <v>303</v>
      </c>
      <c r="D495">
        <v>2020</v>
      </c>
      <c r="E495">
        <v>109777</v>
      </c>
      <c r="F495" t="str">
        <f>VLOOKUP(B495,'Facility List'!$B$2:$E$156,3,0)</f>
        <v>Region 10</v>
      </c>
    </row>
    <row r="496" spans="1:6" x14ac:dyDescent="0.25">
      <c r="A496" t="s">
        <v>301</v>
      </c>
      <c r="B496" t="s">
        <v>302</v>
      </c>
      <c r="C496" t="s">
        <v>303</v>
      </c>
      <c r="D496">
        <v>2021</v>
      </c>
      <c r="E496">
        <v>54426.400000000001</v>
      </c>
      <c r="F496" t="str">
        <f>VLOOKUP(B496,'Facility List'!$B$2:$E$156,3,0)</f>
        <v>Region 10</v>
      </c>
    </row>
    <row r="497" spans="1:6" x14ac:dyDescent="0.25">
      <c r="A497" t="s">
        <v>304</v>
      </c>
      <c r="B497" t="s">
        <v>305</v>
      </c>
      <c r="C497" t="s">
        <v>306</v>
      </c>
      <c r="D497">
        <v>2017</v>
      </c>
      <c r="E497">
        <v>107476</v>
      </c>
      <c r="F497" t="str">
        <f>VLOOKUP(B497,'Facility List'!$B$2:$E$156,3,0)</f>
        <v>Region 10</v>
      </c>
    </row>
    <row r="498" spans="1:6" x14ac:dyDescent="0.25">
      <c r="A498" t="s">
        <v>304</v>
      </c>
      <c r="B498" t="s">
        <v>305</v>
      </c>
      <c r="C498" t="s">
        <v>306</v>
      </c>
      <c r="D498">
        <v>2018</v>
      </c>
      <c r="E498">
        <v>169642</v>
      </c>
      <c r="F498" t="str">
        <f>VLOOKUP(B498,'Facility List'!$B$2:$E$156,3,0)</f>
        <v>Region 10</v>
      </c>
    </row>
    <row r="499" spans="1:6" x14ac:dyDescent="0.25">
      <c r="A499" t="s">
        <v>304</v>
      </c>
      <c r="B499" t="s">
        <v>305</v>
      </c>
      <c r="C499" t="s">
        <v>306</v>
      </c>
      <c r="D499">
        <v>2019</v>
      </c>
      <c r="E499">
        <v>71459</v>
      </c>
      <c r="F499" t="str">
        <f>VLOOKUP(B499,'Facility List'!$B$2:$E$156,3,0)</f>
        <v>Region 10</v>
      </c>
    </row>
    <row r="500" spans="1:6" x14ac:dyDescent="0.25">
      <c r="A500" t="s">
        <v>304</v>
      </c>
      <c r="B500" t="s">
        <v>305</v>
      </c>
      <c r="C500" t="s">
        <v>306</v>
      </c>
      <c r="D500">
        <v>2020</v>
      </c>
      <c r="E500">
        <v>82048</v>
      </c>
      <c r="F500" t="str">
        <f>VLOOKUP(B500,'Facility List'!$B$2:$E$156,3,0)</f>
        <v>Region 10</v>
      </c>
    </row>
    <row r="501" spans="1:6" x14ac:dyDescent="0.25">
      <c r="A501" t="s">
        <v>304</v>
      </c>
      <c r="B501" t="s">
        <v>305</v>
      </c>
      <c r="C501" t="s">
        <v>306</v>
      </c>
      <c r="D501">
        <v>2021</v>
      </c>
      <c r="E501">
        <v>86433</v>
      </c>
      <c r="F501" t="str">
        <f>VLOOKUP(B501,'Facility List'!$B$2:$E$156,3,0)</f>
        <v>Region 10</v>
      </c>
    </row>
    <row r="502" spans="1:6" x14ac:dyDescent="0.25">
      <c r="A502" t="s">
        <v>307</v>
      </c>
      <c r="B502" t="s">
        <v>308</v>
      </c>
      <c r="C502" t="s">
        <v>309</v>
      </c>
      <c r="D502">
        <v>2017</v>
      </c>
      <c r="E502">
        <v>86077</v>
      </c>
      <c r="F502" t="str">
        <f>VLOOKUP(B502,'Facility List'!$B$2:$E$156,3,0)</f>
        <v>Region 10</v>
      </c>
    </row>
    <row r="503" spans="1:6" x14ac:dyDescent="0.25">
      <c r="A503" t="s">
        <v>307</v>
      </c>
      <c r="B503" t="s">
        <v>308</v>
      </c>
      <c r="C503" t="s">
        <v>309</v>
      </c>
      <c r="D503">
        <v>2018</v>
      </c>
      <c r="E503">
        <v>87228</v>
      </c>
      <c r="F503" t="str">
        <f>VLOOKUP(B503,'Facility List'!$B$2:$E$156,3,0)</f>
        <v>Region 10</v>
      </c>
    </row>
    <row r="504" spans="1:6" x14ac:dyDescent="0.25">
      <c r="A504" t="s">
        <v>307</v>
      </c>
      <c r="B504" t="s">
        <v>308</v>
      </c>
      <c r="C504" t="s">
        <v>309</v>
      </c>
      <c r="D504">
        <v>2019</v>
      </c>
      <c r="E504">
        <v>93239</v>
      </c>
      <c r="F504" t="str">
        <f>VLOOKUP(B504,'Facility List'!$B$2:$E$156,3,0)</f>
        <v>Region 10</v>
      </c>
    </row>
    <row r="505" spans="1:6" x14ac:dyDescent="0.25">
      <c r="A505" t="s">
        <v>307</v>
      </c>
      <c r="B505" t="s">
        <v>308</v>
      </c>
      <c r="C505" t="s">
        <v>309</v>
      </c>
      <c r="D505">
        <v>2020</v>
      </c>
      <c r="E505">
        <v>94795</v>
      </c>
      <c r="F505" t="str">
        <f>VLOOKUP(B505,'Facility List'!$B$2:$E$156,3,0)</f>
        <v>Region 10</v>
      </c>
    </row>
    <row r="506" spans="1:6" x14ac:dyDescent="0.25">
      <c r="A506" t="s">
        <v>307</v>
      </c>
      <c r="B506" t="s">
        <v>308</v>
      </c>
      <c r="C506" t="s">
        <v>309</v>
      </c>
      <c r="D506">
        <v>2021</v>
      </c>
      <c r="E506">
        <v>102746</v>
      </c>
      <c r="F506" t="str">
        <f>VLOOKUP(B506,'Facility List'!$B$2:$E$156,3,0)</f>
        <v>Region 10</v>
      </c>
    </row>
    <row r="507" spans="1:6" x14ac:dyDescent="0.25">
      <c r="A507" t="s">
        <v>310</v>
      </c>
      <c r="B507" t="s">
        <v>311</v>
      </c>
      <c r="C507" t="s">
        <v>312</v>
      </c>
      <c r="D507">
        <v>2017</v>
      </c>
      <c r="E507">
        <v>50716</v>
      </c>
      <c r="F507" t="str">
        <f>VLOOKUP(B507,'Facility List'!$B$2:$E$156,3,0)</f>
        <v>Region 10</v>
      </c>
    </row>
    <row r="508" spans="1:6" x14ac:dyDescent="0.25">
      <c r="A508" t="s">
        <v>310</v>
      </c>
      <c r="B508" t="s">
        <v>311</v>
      </c>
      <c r="C508" t="s">
        <v>312</v>
      </c>
      <c r="D508">
        <v>2018</v>
      </c>
      <c r="E508">
        <v>39</v>
      </c>
      <c r="F508" t="str">
        <f>VLOOKUP(B508,'Facility List'!$B$2:$E$156,3,0)</f>
        <v>Region 10</v>
      </c>
    </row>
    <row r="509" spans="1:6" x14ac:dyDescent="0.25">
      <c r="A509" t="s">
        <v>310</v>
      </c>
      <c r="B509" t="s">
        <v>311</v>
      </c>
      <c r="C509" t="s">
        <v>312</v>
      </c>
      <c r="D509">
        <v>2019</v>
      </c>
      <c r="E509">
        <v>20</v>
      </c>
      <c r="F509" t="str">
        <f>VLOOKUP(B509,'Facility List'!$B$2:$E$156,3,0)</f>
        <v>Region 10</v>
      </c>
    </row>
    <row r="510" spans="1:6" x14ac:dyDescent="0.25">
      <c r="A510" t="s">
        <v>310</v>
      </c>
      <c r="B510" t="s">
        <v>311</v>
      </c>
      <c r="C510" t="s">
        <v>312</v>
      </c>
      <c r="D510">
        <v>2020</v>
      </c>
      <c r="E510">
        <v>22</v>
      </c>
      <c r="F510" t="str">
        <f>VLOOKUP(B510,'Facility List'!$B$2:$E$156,3,0)</f>
        <v>Region 10</v>
      </c>
    </row>
    <row r="511" spans="1:6" x14ac:dyDescent="0.25">
      <c r="A511" t="s">
        <v>310</v>
      </c>
      <c r="B511" t="s">
        <v>311</v>
      </c>
      <c r="C511" t="s">
        <v>312</v>
      </c>
      <c r="D511">
        <v>2021</v>
      </c>
      <c r="E511">
        <v>4.66</v>
      </c>
      <c r="F511" t="str">
        <f>VLOOKUP(B511,'Facility List'!$B$2:$E$156,3,0)</f>
        <v>Region 10</v>
      </c>
    </row>
    <row r="512" spans="1:6" x14ac:dyDescent="0.25">
      <c r="A512" t="s">
        <v>313</v>
      </c>
      <c r="B512" t="s">
        <v>314</v>
      </c>
      <c r="C512" t="s">
        <v>315</v>
      </c>
      <c r="D512">
        <v>2017</v>
      </c>
      <c r="E512">
        <v>30960</v>
      </c>
      <c r="F512" t="str">
        <f>VLOOKUP(B512,'Facility List'!$B$2:$E$156,3,0)</f>
        <v>Region 10</v>
      </c>
    </row>
    <row r="513" spans="1:6" x14ac:dyDescent="0.25">
      <c r="A513" t="s">
        <v>313</v>
      </c>
      <c r="B513" t="s">
        <v>314</v>
      </c>
      <c r="C513" t="s">
        <v>315</v>
      </c>
      <c r="D513">
        <v>2018</v>
      </c>
      <c r="E513">
        <v>29488</v>
      </c>
      <c r="F513" t="str">
        <f>VLOOKUP(B513,'Facility List'!$B$2:$E$156,3,0)</f>
        <v>Region 10</v>
      </c>
    </row>
    <row r="514" spans="1:6" x14ac:dyDescent="0.25">
      <c r="A514" t="s">
        <v>313</v>
      </c>
      <c r="B514" t="s">
        <v>314</v>
      </c>
      <c r="C514" t="s">
        <v>315</v>
      </c>
      <c r="D514">
        <v>2019</v>
      </c>
      <c r="E514">
        <v>42372</v>
      </c>
      <c r="F514" t="str">
        <f>VLOOKUP(B514,'Facility List'!$B$2:$E$156,3,0)</f>
        <v>Region 10</v>
      </c>
    </row>
    <row r="515" spans="1:6" x14ac:dyDescent="0.25">
      <c r="A515" t="s">
        <v>313</v>
      </c>
      <c r="B515" t="s">
        <v>314</v>
      </c>
      <c r="C515" t="s">
        <v>315</v>
      </c>
      <c r="D515">
        <v>2020</v>
      </c>
      <c r="E515">
        <v>20000</v>
      </c>
      <c r="F515" t="str">
        <f>VLOOKUP(B515,'Facility List'!$B$2:$E$156,3,0)</f>
        <v>Region 10</v>
      </c>
    </row>
    <row r="516" spans="1:6" x14ac:dyDescent="0.25">
      <c r="A516" t="s">
        <v>313</v>
      </c>
      <c r="B516" t="s">
        <v>314</v>
      </c>
      <c r="C516" t="s">
        <v>315</v>
      </c>
      <c r="D516">
        <v>2021</v>
      </c>
      <c r="E516">
        <v>21232</v>
      </c>
      <c r="F516" t="str">
        <f>VLOOKUP(B516,'Facility List'!$B$2:$E$156,3,0)</f>
        <v>Region 10</v>
      </c>
    </row>
    <row r="517" spans="1:6" x14ac:dyDescent="0.25">
      <c r="A517" t="s">
        <v>316</v>
      </c>
      <c r="B517" t="s">
        <v>317</v>
      </c>
      <c r="C517" t="s">
        <v>318</v>
      </c>
      <c r="D517">
        <v>2017</v>
      </c>
      <c r="E517">
        <v>69378</v>
      </c>
      <c r="F517" t="str">
        <f>VLOOKUP(B517,'Facility List'!$B$2:$E$156,3,0)</f>
        <v>Region 10</v>
      </c>
    </row>
    <row r="518" spans="1:6" x14ac:dyDescent="0.25">
      <c r="A518" t="s">
        <v>316</v>
      </c>
      <c r="B518" t="s">
        <v>317</v>
      </c>
      <c r="C518" t="s">
        <v>318</v>
      </c>
      <c r="D518">
        <v>2018</v>
      </c>
      <c r="E518">
        <v>70314</v>
      </c>
      <c r="F518" t="str">
        <f>VLOOKUP(B518,'Facility List'!$B$2:$E$156,3,0)</f>
        <v>Region 10</v>
      </c>
    </row>
    <row r="519" spans="1:6" x14ac:dyDescent="0.25">
      <c r="A519" t="s">
        <v>316</v>
      </c>
      <c r="B519" t="s">
        <v>317</v>
      </c>
      <c r="C519" t="s">
        <v>318</v>
      </c>
      <c r="D519">
        <v>2019</v>
      </c>
      <c r="E519">
        <v>70294</v>
      </c>
      <c r="F519" t="str">
        <f>VLOOKUP(B519,'Facility List'!$B$2:$E$156,3,0)</f>
        <v>Region 10</v>
      </c>
    </row>
    <row r="520" spans="1:6" x14ac:dyDescent="0.25">
      <c r="A520" t="s">
        <v>316</v>
      </c>
      <c r="B520" t="s">
        <v>317</v>
      </c>
      <c r="C520" t="s">
        <v>318</v>
      </c>
      <c r="D520">
        <v>2020</v>
      </c>
      <c r="E520">
        <v>68171.17</v>
      </c>
      <c r="F520" t="str">
        <f>VLOOKUP(B520,'Facility List'!$B$2:$E$156,3,0)</f>
        <v>Region 10</v>
      </c>
    </row>
    <row r="521" spans="1:6" x14ac:dyDescent="0.25">
      <c r="A521" t="s">
        <v>316</v>
      </c>
      <c r="B521" t="s">
        <v>317</v>
      </c>
      <c r="C521" t="s">
        <v>318</v>
      </c>
      <c r="D521">
        <v>2021</v>
      </c>
      <c r="E521">
        <v>73670.899999999994</v>
      </c>
      <c r="F521" t="str">
        <f>VLOOKUP(B521,'Facility List'!$B$2:$E$156,3,0)</f>
        <v>Region 10</v>
      </c>
    </row>
    <row r="522" spans="1:6" x14ac:dyDescent="0.25">
      <c r="A522" t="s">
        <v>319</v>
      </c>
      <c r="B522" t="s">
        <v>320</v>
      </c>
      <c r="C522" t="s">
        <v>321</v>
      </c>
      <c r="D522">
        <v>2017</v>
      </c>
      <c r="E522">
        <v>280973.59999999998</v>
      </c>
      <c r="F522" t="str">
        <f>VLOOKUP(B522,'Facility List'!$B$2:$E$156,3,0)</f>
        <v>Region 11</v>
      </c>
    </row>
    <row r="523" spans="1:6" x14ac:dyDescent="0.25">
      <c r="A523" t="s">
        <v>319</v>
      </c>
      <c r="B523" t="s">
        <v>320</v>
      </c>
      <c r="C523" t="s">
        <v>321</v>
      </c>
      <c r="D523">
        <v>2018</v>
      </c>
      <c r="E523">
        <v>272580.21999999997</v>
      </c>
      <c r="F523" t="str">
        <f>VLOOKUP(B523,'Facility List'!$B$2:$E$156,3,0)</f>
        <v>Region 11</v>
      </c>
    </row>
    <row r="524" spans="1:6" x14ac:dyDescent="0.25">
      <c r="A524" t="s">
        <v>319</v>
      </c>
      <c r="B524" t="s">
        <v>320</v>
      </c>
      <c r="C524" t="s">
        <v>321</v>
      </c>
      <c r="D524">
        <v>2019</v>
      </c>
      <c r="E524">
        <v>303066</v>
      </c>
      <c r="F524" t="str">
        <f>VLOOKUP(B524,'Facility List'!$B$2:$E$156,3,0)</f>
        <v>Region 11</v>
      </c>
    </row>
    <row r="525" spans="1:6" x14ac:dyDescent="0.25">
      <c r="A525" t="s">
        <v>319</v>
      </c>
      <c r="B525" t="s">
        <v>320</v>
      </c>
      <c r="C525" t="s">
        <v>321</v>
      </c>
      <c r="D525">
        <v>2020</v>
      </c>
      <c r="E525">
        <v>383886.63</v>
      </c>
      <c r="F525" t="str">
        <f>VLOOKUP(B525,'Facility List'!$B$2:$E$156,3,0)</f>
        <v>Region 11</v>
      </c>
    </row>
    <row r="526" spans="1:6" x14ac:dyDescent="0.25">
      <c r="A526" t="s">
        <v>319</v>
      </c>
      <c r="B526" t="s">
        <v>320</v>
      </c>
      <c r="C526" t="s">
        <v>321</v>
      </c>
      <c r="D526">
        <v>2021</v>
      </c>
      <c r="E526">
        <v>535203.09</v>
      </c>
      <c r="F526" t="str">
        <f>VLOOKUP(B526,'Facility List'!$B$2:$E$156,3,0)</f>
        <v>Region 11</v>
      </c>
    </row>
    <row r="527" spans="1:6" x14ac:dyDescent="0.25">
      <c r="A527" t="s">
        <v>322</v>
      </c>
      <c r="B527" t="s">
        <v>323</v>
      </c>
      <c r="C527" t="s">
        <v>324</v>
      </c>
      <c r="D527">
        <v>2017</v>
      </c>
      <c r="E527">
        <v>846060</v>
      </c>
      <c r="F527" t="str">
        <f>VLOOKUP(B527,'Facility List'!$B$2:$E$156,3,0)</f>
        <v>Region 11</v>
      </c>
    </row>
    <row r="528" spans="1:6" x14ac:dyDescent="0.25">
      <c r="A528" t="s">
        <v>322</v>
      </c>
      <c r="B528" t="s">
        <v>323</v>
      </c>
      <c r="C528" t="s">
        <v>324</v>
      </c>
      <c r="D528">
        <v>2018</v>
      </c>
      <c r="E528">
        <v>862892.1</v>
      </c>
      <c r="F528" t="str">
        <f>VLOOKUP(B528,'Facility List'!$B$2:$E$156,3,0)</f>
        <v>Region 11</v>
      </c>
    </row>
    <row r="529" spans="1:6" x14ac:dyDescent="0.25">
      <c r="A529" t="s">
        <v>322</v>
      </c>
      <c r="B529" t="s">
        <v>323</v>
      </c>
      <c r="C529" t="s">
        <v>324</v>
      </c>
      <c r="D529">
        <v>2019</v>
      </c>
      <c r="E529">
        <v>916768.4</v>
      </c>
      <c r="F529" t="str">
        <f>VLOOKUP(B529,'Facility List'!$B$2:$E$156,3,0)</f>
        <v>Region 11</v>
      </c>
    </row>
    <row r="530" spans="1:6" x14ac:dyDescent="0.25">
      <c r="A530" t="s">
        <v>322</v>
      </c>
      <c r="B530" t="s">
        <v>323</v>
      </c>
      <c r="C530" t="s">
        <v>324</v>
      </c>
      <c r="D530">
        <v>2020</v>
      </c>
      <c r="E530">
        <v>972329.5</v>
      </c>
      <c r="F530" t="str">
        <f>VLOOKUP(B530,'Facility List'!$B$2:$E$156,3,0)</f>
        <v>Region 11</v>
      </c>
    </row>
    <row r="531" spans="1:6" x14ac:dyDescent="0.25">
      <c r="A531" t="s">
        <v>322</v>
      </c>
      <c r="B531" t="s">
        <v>323</v>
      </c>
      <c r="C531" t="s">
        <v>324</v>
      </c>
      <c r="D531">
        <v>2021</v>
      </c>
      <c r="E531">
        <v>1126051.7</v>
      </c>
      <c r="F531" t="str">
        <f>VLOOKUP(B531,'Facility List'!$B$2:$E$156,3,0)</f>
        <v>Region 11</v>
      </c>
    </row>
    <row r="532" spans="1:6" x14ac:dyDescent="0.25">
      <c r="A532" t="s">
        <v>325</v>
      </c>
      <c r="B532" t="s">
        <v>326</v>
      </c>
      <c r="C532" t="s">
        <v>327</v>
      </c>
      <c r="D532">
        <v>2017</v>
      </c>
      <c r="F532" t="str">
        <f>VLOOKUP(B532,'Facility List'!$B$2:$E$156,3,0)</f>
        <v>Region 11</v>
      </c>
    </row>
    <row r="533" spans="1:6" x14ac:dyDescent="0.25">
      <c r="A533" t="s">
        <v>325</v>
      </c>
      <c r="B533" t="s">
        <v>326</v>
      </c>
      <c r="C533" t="s">
        <v>327</v>
      </c>
      <c r="D533">
        <v>2018</v>
      </c>
      <c r="F533" t="str">
        <f>VLOOKUP(B533,'Facility List'!$B$2:$E$156,3,0)</f>
        <v>Region 11</v>
      </c>
    </row>
    <row r="534" spans="1:6" x14ac:dyDescent="0.25">
      <c r="A534" t="s">
        <v>325</v>
      </c>
      <c r="B534" t="s">
        <v>326</v>
      </c>
      <c r="C534" t="s">
        <v>327</v>
      </c>
      <c r="D534">
        <v>2019</v>
      </c>
      <c r="F534" t="str">
        <f>VLOOKUP(B534,'Facility List'!$B$2:$E$156,3,0)</f>
        <v>Region 11</v>
      </c>
    </row>
    <row r="535" spans="1:6" x14ac:dyDescent="0.25">
      <c r="A535" t="s">
        <v>325</v>
      </c>
      <c r="B535" t="s">
        <v>326</v>
      </c>
      <c r="C535" t="s">
        <v>327</v>
      </c>
      <c r="D535">
        <v>2020</v>
      </c>
      <c r="F535" t="str">
        <f>VLOOKUP(B535,'Facility List'!$B$2:$E$156,3,0)</f>
        <v>Region 11</v>
      </c>
    </row>
    <row r="536" spans="1:6" x14ac:dyDescent="0.25">
      <c r="A536" t="s">
        <v>325</v>
      </c>
      <c r="B536" t="s">
        <v>326</v>
      </c>
      <c r="C536" t="s">
        <v>327</v>
      </c>
      <c r="D536">
        <v>2021</v>
      </c>
      <c r="E536">
        <v>10959.08</v>
      </c>
      <c r="F536" t="str">
        <f>VLOOKUP(B536,'Facility List'!$B$2:$E$156,3,0)</f>
        <v>Region 11</v>
      </c>
    </row>
    <row r="537" spans="1:6" x14ac:dyDescent="0.25">
      <c r="A537" t="s">
        <v>328</v>
      </c>
      <c r="B537" t="s">
        <v>329</v>
      </c>
      <c r="C537" t="s">
        <v>330</v>
      </c>
      <c r="D537">
        <v>2017</v>
      </c>
      <c r="E537">
        <v>715247.75</v>
      </c>
      <c r="F537" t="str">
        <f>VLOOKUP(B537,'Facility List'!$B$2:$E$156,3,0)</f>
        <v>Region 11</v>
      </c>
    </row>
    <row r="538" spans="1:6" x14ac:dyDescent="0.25">
      <c r="A538" t="s">
        <v>328</v>
      </c>
      <c r="B538" t="s">
        <v>329</v>
      </c>
      <c r="C538" t="s">
        <v>330</v>
      </c>
      <c r="D538">
        <v>2018</v>
      </c>
      <c r="E538">
        <v>712314.77</v>
      </c>
      <c r="F538" t="str">
        <f>VLOOKUP(B538,'Facility List'!$B$2:$E$156,3,0)</f>
        <v>Region 11</v>
      </c>
    </row>
    <row r="539" spans="1:6" x14ac:dyDescent="0.25">
      <c r="A539" t="s">
        <v>328</v>
      </c>
      <c r="B539" t="s">
        <v>329</v>
      </c>
      <c r="C539" t="s">
        <v>330</v>
      </c>
      <c r="D539">
        <v>2019</v>
      </c>
      <c r="E539">
        <v>691992.76</v>
      </c>
      <c r="F539" t="str">
        <f>VLOOKUP(B539,'Facility List'!$B$2:$E$156,3,0)</f>
        <v>Region 11</v>
      </c>
    </row>
    <row r="540" spans="1:6" x14ac:dyDescent="0.25">
      <c r="A540" t="s">
        <v>328</v>
      </c>
      <c r="B540" t="s">
        <v>329</v>
      </c>
      <c r="C540" t="s">
        <v>330</v>
      </c>
      <c r="D540">
        <v>2020</v>
      </c>
      <c r="E540">
        <v>623342.13</v>
      </c>
      <c r="F540" t="str">
        <f>VLOOKUP(B540,'Facility List'!$B$2:$E$156,3,0)</f>
        <v>Region 11</v>
      </c>
    </row>
    <row r="541" spans="1:6" x14ac:dyDescent="0.25">
      <c r="A541" t="s">
        <v>328</v>
      </c>
      <c r="B541" t="s">
        <v>329</v>
      </c>
      <c r="C541" t="s">
        <v>330</v>
      </c>
      <c r="D541">
        <v>2021</v>
      </c>
      <c r="E541">
        <v>550664.56000000006</v>
      </c>
      <c r="F541" t="str">
        <f>VLOOKUP(B541,'Facility List'!$B$2:$E$156,3,0)</f>
        <v>Region 11</v>
      </c>
    </row>
    <row r="542" spans="1:6" x14ac:dyDescent="0.25">
      <c r="A542" t="s">
        <v>331</v>
      </c>
      <c r="B542" t="s">
        <v>332</v>
      </c>
      <c r="C542" t="s">
        <v>333</v>
      </c>
      <c r="D542">
        <v>2017</v>
      </c>
      <c r="E542">
        <v>329330.88</v>
      </c>
      <c r="F542" t="str">
        <f>VLOOKUP(B542,'Facility List'!$B$2:$E$156,3,0)</f>
        <v>Region 12</v>
      </c>
    </row>
    <row r="543" spans="1:6" x14ac:dyDescent="0.25">
      <c r="A543" t="s">
        <v>331</v>
      </c>
      <c r="B543" t="s">
        <v>332</v>
      </c>
      <c r="C543" t="s">
        <v>333</v>
      </c>
      <c r="D543">
        <v>2018</v>
      </c>
      <c r="E543">
        <v>334825</v>
      </c>
      <c r="F543" t="str">
        <f>VLOOKUP(B543,'Facility List'!$B$2:$E$156,3,0)</f>
        <v>Region 12</v>
      </c>
    </row>
    <row r="544" spans="1:6" x14ac:dyDescent="0.25">
      <c r="A544" t="s">
        <v>331</v>
      </c>
      <c r="B544" t="s">
        <v>332</v>
      </c>
      <c r="C544" t="s">
        <v>333</v>
      </c>
      <c r="D544">
        <v>2019</v>
      </c>
      <c r="E544">
        <v>211760</v>
      </c>
      <c r="F544" t="str">
        <f>VLOOKUP(B544,'Facility List'!$B$2:$E$156,3,0)</f>
        <v>Region 12</v>
      </c>
    </row>
    <row r="545" spans="1:6" x14ac:dyDescent="0.25">
      <c r="A545" t="s">
        <v>331</v>
      </c>
      <c r="B545" t="s">
        <v>332</v>
      </c>
      <c r="C545" t="s">
        <v>333</v>
      </c>
      <c r="D545">
        <v>2020</v>
      </c>
      <c r="E545">
        <v>203588</v>
      </c>
      <c r="F545" t="str">
        <f>VLOOKUP(B545,'Facility List'!$B$2:$E$156,3,0)</f>
        <v>Region 12</v>
      </c>
    </row>
    <row r="546" spans="1:6" x14ac:dyDescent="0.25">
      <c r="A546" t="s">
        <v>331</v>
      </c>
      <c r="B546" t="s">
        <v>332</v>
      </c>
      <c r="C546" t="s">
        <v>333</v>
      </c>
      <c r="D546">
        <v>2021</v>
      </c>
      <c r="E546">
        <v>237565</v>
      </c>
      <c r="F546" t="str">
        <f>VLOOKUP(B546,'Facility List'!$B$2:$E$156,3,0)</f>
        <v>Region 12</v>
      </c>
    </row>
    <row r="547" spans="1:6" x14ac:dyDescent="0.25">
      <c r="A547" t="s">
        <v>334</v>
      </c>
      <c r="B547" t="s">
        <v>335</v>
      </c>
      <c r="C547" t="s">
        <v>336</v>
      </c>
      <c r="D547">
        <v>2017</v>
      </c>
      <c r="E547">
        <v>1015850</v>
      </c>
      <c r="F547" t="str">
        <f>VLOOKUP(B547,'Facility List'!$B$2:$E$156,3,0)</f>
        <v>Region 12</v>
      </c>
    </row>
    <row r="548" spans="1:6" x14ac:dyDescent="0.25">
      <c r="A548" t="s">
        <v>334</v>
      </c>
      <c r="B548" t="s">
        <v>335</v>
      </c>
      <c r="C548" t="s">
        <v>336</v>
      </c>
      <c r="D548">
        <v>2018</v>
      </c>
      <c r="E548">
        <v>1121113</v>
      </c>
      <c r="F548" t="str">
        <f>VLOOKUP(B548,'Facility List'!$B$2:$E$156,3,0)</f>
        <v>Region 12</v>
      </c>
    </row>
    <row r="549" spans="1:6" x14ac:dyDescent="0.25">
      <c r="A549" t="s">
        <v>334</v>
      </c>
      <c r="B549" t="s">
        <v>335</v>
      </c>
      <c r="C549" t="s">
        <v>336</v>
      </c>
      <c r="D549">
        <v>2019</v>
      </c>
      <c r="E549">
        <v>1120292.1000000001</v>
      </c>
      <c r="F549" t="str">
        <f>VLOOKUP(B549,'Facility List'!$B$2:$E$156,3,0)</f>
        <v>Region 12</v>
      </c>
    </row>
    <row r="550" spans="1:6" x14ac:dyDescent="0.25">
      <c r="A550" t="s">
        <v>334</v>
      </c>
      <c r="B550" t="s">
        <v>335</v>
      </c>
      <c r="C550" t="s">
        <v>336</v>
      </c>
      <c r="D550">
        <v>2020</v>
      </c>
      <c r="E550">
        <v>992600</v>
      </c>
      <c r="F550" t="str">
        <f>VLOOKUP(B550,'Facility List'!$B$2:$E$156,3,0)</f>
        <v>Region 12</v>
      </c>
    </row>
    <row r="551" spans="1:6" x14ac:dyDescent="0.25">
      <c r="A551" t="s">
        <v>334</v>
      </c>
      <c r="B551" t="s">
        <v>335</v>
      </c>
      <c r="C551" t="s">
        <v>336</v>
      </c>
      <c r="D551">
        <v>2021</v>
      </c>
      <c r="E551">
        <v>1023922</v>
      </c>
      <c r="F551" t="str">
        <f>VLOOKUP(B551,'Facility List'!$B$2:$E$156,3,0)</f>
        <v>Region 12</v>
      </c>
    </row>
    <row r="552" spans="1:6" x14ac:dyDescent="0.25">
      <c r="A552" t="s">
        <v>337</v>
      </c>
      <c r="B552" t="s">
        <v>338</v>
      </c>
      <c r="C552" t="s">
        <v>339</v>
      </c>
      <c r="D552">
        <v>2017</v>
      </c>
      <c r="E552">
        <v>12327.09</v>
      </c>
      <c r="F552" t="str">
        <f>VLOOKUP(B552,'Facility List'!$B$2:$E$156,3,0)</f>
        <v>Region 12</v>
      </c>
    </row>
    <row r="553" spans="1:6" x14ac:dyDescent="0.25">
      <c r="A553" t="s">
        <v>337</v>
      </c>
      <c r="B553" t="s">
        <v>338</v>
      </c>
      <c r="C553" t="s">
        <v>339</v>
      </c>
      <c r="D553">
        <v>2018</v>
      </c>
      <c r="E553">
        <v>13344.68</v>
      </c>
      <c r="F553" t="str">
        <f>VLOOKUP(B553,'Facility List'!$B$2:$E$156,3,0)</f>
        <v>Region 12</v>
      </c>
    </row>
    <row r="554" spans="1:6" x14ac:dyDescent="0.25">
      <c r="A554" t="s">
        <v>337</v>
      </c>
      <c r="B554" t="s">
        <v>338</v>
      </c>
      <c r="C554" t="s">
        <v>339</v>
      </c>
      <c r="D554">
        <v>2019</v>
      </c>
      <c r="E554">
        <v>15478.3</v>
      </c>
      <c r="F554" t="str">
        <f>VLOOKUP(B554,'Facility List'!$B$2:$E$156,3,0)</f>
        <v>Region 12</v>
      </c>
    </row>
    <row r="555" spans="1:6" x14ac:dyDescent="0.25">
      <c r="A555" t="s">
        <v>337</v>
      </c>
      <c r="B555" t="s">
        <v>338</v>
      </c>
      <c r="C555" t="s">
        <v>339</v>
      </c>
      <c r="D555">
        <v>2020</v>
      </c>
      <c r="E555">
        <v>16272.21</v>
      </c>
      <c r="F555" t="str">
        <f>VLOOKUP(B555,'Facility List'!$B$2:$E$156,3,0)</f>
        <v>Region 12</v>
      </c>
    </row>
    <row r="556" spans="1:6" x14ac:dyDescent="0.25">
      <c r="A556" t="s">
        <v>337</v>
      </c>
      <c r="B556" t="s">
        <v>338</v>
      </c>
      <c r="C556" t="s">
        <v>339</v>
      </c>
      <c r="D556">
        <v>2021</v>
      </c>
      <c r="E556">
        <v>8099.6</v>
      </c>
      <c r="F556" t="str">
        <f>VLOOKUP(B556,'Facility List'!$B$2:$E$156,3,0)</f>
        <v>Region 12</v>
      </c>
    </row>
    <row r="557" spans="1:6" x14ac:dyDescent="0.25">
      <c r="A557" t="s">
        <v>340</v>
      </c>
      <c r="B557" t="s">
        <v>341</v>
      </c>
      <c r="C557" t="s">
        <v>342</v>
      </c>
      <c r="D557">
        <v>2017</v>
      </c>
      <c r="E557">
        <v>949043</v>
      </c>
      <c r="F557" t="str">
        <f>VLOOKUP(B557,'Facility List'!$B$2:$E$156,3,0)</f>
        <v>Region 12</v>
      </c>
    </row>
    <row r="558" spans="1:6" x14ac:dyDescent="0.25">
      <c r="A558" t="s">
        <v>340</v>
      </c>
      <c r="B558" t="s">
        <v>341</v>
      </c>
      <c r="C558" t="s">
        <v>342</v>
      </c>
      <c r="D558">
        <v>2018</v>
      </c>
      <c r="E558">
        <v>927469</v>
      </c>
      <c r="F558" t="str">
        <f>VLOOKUP(B558,'Facility List'!$B$2:$E$156,3,0)</f>
        <v>Region 12</v>
      </c>
    </row>
    <row r="559" spans="1:6" x14ac:dyDescent="0.25">
      <c r="A559" t="s">
        <v>340</v>
      </c>
      <c r="B559" t="s">
        <v>341</v>
      </c>
      <c r="C559" t="s">
        <v>342</v>
      </c>
      <c r="D559">
        <v>2019</v>
      </c>
      <c r="E559">
        <v>749902</v>
      </c>
      <c r="F559" t="str">
        <f>VLOOKUP(B559,'Facility List'!$B$2:$E$156,3,0)</f>
        <v>Region 12</v>
      </c>
    </row>
    <row r="560" spans="1:6" x14ac:dyDescent="0.25">
      <c r="A560" t="s">
        <v>340</v>
      </c>
      <c r="B560" t="s">
        <v>341</v>
      </c>
      <c r="C560" t="s">
        <v>342</v>
      </c>
      <c r="D560">
        <v>2020</v>
      </c>
      <c r="E560">
        <v>670723</v>
      </c>
      <c r="F560" t="str">
        <f>VLOOKUP(B560,'Facility List'!$B$2:$E$156,3,0)</f>
        <v>Region 12</v>
      </c>
    </row>
    <row r="561" spans="1:6" x14ac:dyDescent="0.25">
      <c r="A561" t="s">
        <v>340</v>
      </c>
      <c r="B561" t="s">
        <v>341</v>
      </c>
      <c r="C561" t="s">
        <v>342</v>
      </c>
      <c r="D561">
        <v>2021</v>
      </c>
      <c r="E561">
        <v>703491</v>
      </c>
      <c r="F561" t="str">
        <f>VLOOKUP(B561,'Facility List'!$B$2:$E$156,3,0)</f>
        <v>Region 12</v>
      </c>
    </row>
    <row r="562" spans="1:6" x14ac:dyDescent="0.25">
      <c r="A562" t="s">
        <v>343</v>
      </c>
      <c r="B562" t="s">
        <v>344</v>
      </c>
      <c r="C562" t="s">
        <v>345</v>
      </c>
      <c r="D562">
        <v>2017</v>
      </c>
      <c r="E562">
        <v>202990</v>
      </c>
      <c r="F562" t="str">
        <f>VLOOKUP(B562,'Facility List'!$B$2:$E$156,3,0)</f>
        <v>Region 12</v>
      </c>
    </row>
    <row r="563" spans="1:6" x14ac:dyDescent="0.25">
      <c r="A563" t="s">
        <v>343</v>
      </c>
      <c r="B563" t="s">
        <v>344</v>
      </c>
      <c r="C563" t="s">
        <v>345</v>
      </c>
      <c r="D563">
        <v>2018</v>
      </c>
      <c r="E563">
        <v>219541</v>
      </c>
      <c r="F563" t="str">
        <f>VLOOKUP(B563,'Facility List'!$B$2:$E$156,3,0)</f>
        <v>Region 12</v>
      </c>
    </row>
    <row r="564" spans="1:6" x14ac:dyDescent="0.25">
      <c r="A564" t="s">
        <v>343</v>
      </c>
      <c r="B564" t="s">
        <v>344</v>
      </c>
      <c r="C564" t="s">
        <v>345</v>
      </c>
      <c r="D564">
        <v>2019</v>
      </c>
      <c r="E564">
        <v>224843.7</v>
      </c>
      <c r="F564" t="str">
        <f>VLOOKUP(B564,'Facility List'!$B$2:$E$156,3,0)</f>
        <v>Region 12</v>
      </c>
    </row>
    <row r="565" spans="1:6" x14ac:dyDescent="0.25">
      <c r="A565" t="s">
        <v>343</v>
      </c>
      <c r="B565" t="s">
        <v>344</v>
      </c>
      <c r="C565" t="s">
        <v>345</v>
      </c>
      <c r="D565">
        <v>2020</v>
      </c>
      <c r="E565">
        <v>199800</v>
      </c>
      <c r="F565" t="str">
        <f>VLOOKUP(B565,'Facility List'!$B$2:$E$156,3,0)</f>
        <v>Region 12</v>
      </c>
    </row>
    <row r="566" spans="1:6" x14ac:dyDescent="0.25">
      <c r="A566" t="s">
        <v>343</v>
      </c>
      <c r="B566" t="s">
        <v>344</v>
      </c>
      <c r="C566" t="s">
        <v>345</v>
      </c>
      <c r="D566">
        <v>2021</v>
      </c>
      <c r="E566">
        <v>208498</v>
      </c>
      <c r="F566" t="str">
        <f>VLOOKUP(B566,'Facility List'!$B$2:$E$156,3,0)</f>
        <v>Region 12</v>
      </c>
    </row>
    <row r="567" spans="1:6" x14ac:dyDescent="0.25">
      <c r="A567" t="s">
        <v>346</v>
      </c>
      <c r="B567" t="s">
        <v>347</v>
      </c>
      <c r="C567" t="s">
        <v>348</v>
      </c>
      <c r="D567">
        <v>2017</v>
      </c>
      <c r="E567">
        <v>585252</v>
      </c>
      <c r="F567" t="str">
        <f>VLOOKUP(B567,'Facility List'!$B$2:$E$156,3,0)</f>
        <v>Region 12</v>
      </c>
    </row>
    <row r="568" spans="1:6" x14ac:dyDescent="0.25">
      <c r="A568" t="s">
        <v>346</v>
      </c>
      <c r="B568" t="s">
        <v>347</v>
      </c>
      <c r="C568" t="s">
        <v>348</v>
      </c>
      <c r="D568">
        <v>2018</v>
      </c>
      <c r="E568">
        <v>558498.30000000005</v>
      </c>
      <c r="F568" t="str">
        <f>VLOOKUP(B568,'Facility List'!$B$2:$E$156,3,0)</f>
        <v>Region 12</v>
      </c>
    </row>
    <row r="569" spans="1:6" x14ac:dyDescent="0.25">
      <c r="A569" t="s">
        <v>346</v>
      </c>
      <c r="B569" t="s">
        <v>347</v>
      </c>
      <c r="C569" t="s">
        <v>348</v>
      </c>
      <c r="D569">
        <v>2019</v>
      </c>
      <c r="E569">
        <v>578875.6</v>
      </c>
      <c r="F569" t="str">
        <f>VLOOKUP(B569,'Facility List'!$B$2:$E$156,3,0)</f>
        <v>Region 12</v>
      </c>
    </row>
    <row r="570" spans="1:6" x14ac:dyDescent="0.25">
      <c r="A570" t="s">
        <v>346</v>
      </c>
      <c r="B570" t="s">
        <v>347</v>
      </c>
      <c r="C570" t="s">
        <v>348</v>
      </c>
      <c r="D570">
        <v>2020</v>
      </c>
      <c r="E570">
        <v>660561.77</v>
      </c>
      <c r="F570" t="str">
        <f>VLOOKUP(B570,'Facility List'!$B$2:$E$156,3,0)</f>
        <v>Region 12</v>
      </c>
    </row>
    <row r="571" spans="1:6" x14ac:dyDescent="0.25">
      <c r="A571" t="s">
        <v>346</v>
      </c>
      <c r="B571" t="s">
        <v>347</v>
      </c>
      <c r="C571" t="s">
        <v>348</v>
      </c>
      <c r="D571">
        <v>2021</v>
      </c>
      <c r="E571">
        <v>714942.87</v>
      </c>
      <c r="F571" t="str">
        <f>VLOOKUP(B571,'Facility List'!$B$2:$E$156,3,0)</f>
        <v>Region 12</v>
      </c>
    </row>
    <row r="572" spans="1:6" x14ac:dyDescent="0.25">
      <c r="A572" t="s">
        <v>349</v>
      </c>
      <c r="B572" t="s">
        <v>350</v>
      </c>
      <c r="C572" t="s">
        <v>351</v>
      </c>
      <c r="D572">
        <v>2017</v>
      </c>
      <c r="E572">
        <v>333035</v>
      </c>
      <c r="F572" t="str">
        <f>VLOOKUP(B572,'Facility List'!$B$2:$E$156,3,0)</f>
        <v>Region 12</v>
      </c>
    </row>
    <row r="573" spans="1:6" x14ac:dyDescent="0.25">
      <c r="A573" t="s">
        <v>349</v>
      </c>
      <c r="B573" t="s">
        <v>350</v>
      </c>
      <c r="C573" t="s">
        <v>351</v>
      </c>
      <c r="D573">
        <v>2018</v>
      </c>
      <c r="E573">
        <v>366300</v>
      </c>
      <c r="F573" t="str">
        <f>VLOOKUP(B573,'Facility List'!$B$2:$E$156,3,0)</f>
        <v>Region 12</v>
      </c>
    </row>
    <row r="574" spans="1:6" x14ac:dyDescent="0.25">
      <c r="A574" t="s">
        <v>349</v>
      </c>
      <c r="B574" t="s">
        <v>350</v>
      </c>
      <c r="C574" t="s">
        <v>351</v>
      </c>
      <c r="D574">
        <v>2019</v>
      </c>
      <c r="E574">
        <v>373066</v>
      </c>
      <c r="F574" t="str">
        <f>VLOOKUP(B574,'Facility List'!$B$2:$E$156,3,0)</f>
        <v>Region 12</v>
      </c>
    </row>
    <row r="575" spans="1:6" x14ac:dyDescent="0.25">
      <c r="A575" t="s">
        <v>349</v>
      </c>
      <c r="B575" t="s">
        <v>350</v>
      </c>
      <c r="C575" t="s">
        <v>351</v>
      </c>
      <c r="D575">
        <v>2020</v>
      </c>
      <c r="E575">
        <v>369600</v>
      </c>
      <c r="F575" t="str">
        <f>VLOOKUP(B575,'Facility List'!$B$2:$E$156,3,0)</f>
        <v>Region 12</v>
      </c>
    </row>
    <row r="576" spans="1:6" x14ac:dyDescent="0.25">
      <c r="A576" t="s">
        <v>349</v>
      </c>
      <c r="B576" t="s">
        <v>350</v>
      </c>
      <c r="C576" t="s">
        <v>351</v>
      </c>
      <c r="D576">
        <v>2021</v>
      </c>
      <c r="E576">
        <v>403325</v>
      </c>
      <c r="F576" t="str">
        <f>VLOOKUP(B576,'Facility List'!$B$2:$E$156,3,0)</f>
        <v>Region 12</v>
      </c>
    </row>
    <row r="577" spans="1:6" x14ac:dyDescent="0.25">
      <c r="A577" t="s">
        <v>352</v>
      </c>
      <c r="B577" t="s">
        <v>353</v>
      </c>
      <c r="C577" t="s">
        <v>354</v>
      </c>
      <c r="D577">
        <v>2017</v>
      </c>
      <c r="E577">
        <v>227720</v>
      </c>
      <c r="F577" t="str">
        <f>VLOOKUP(B577,'Facility List'!$B$2:$E$156,3,0)</f>
        <v>Region 12</v>
      </c>
    </row>
    <row r="578" spans="1:6" x14ac:dyDescent="0.25">
      <c r="A578" t="s">
        <v>352</v>
      </c>
      <c r="B578" t="s">
        <v>353</v>
      </c>
      <c r="C578" t="s">
        <v>354</v>
      </c>
      <c r="D578">
        <v>2018</v>
      </c>
      <c r="E578">
        <v>266126</v>
      </c>
      <c r="F578" t="str">
        <f>VLOOKUP(B578,'Facility List'!$B$2:$E$156,3,0)</f>
        <v>Region 12</v>
      </c>
    </row>
    <row r="579" spans="1:6" x14ac:dyDescent="0.25">
      <c r="A579" t="s">
        <v>352</v>
      </c>
      <c r="B579" t="s">
        <v>353</v>
      </c>
      <c r="C579" t="s">
        <v>354</v>
      </c>
      <c r="D579">
        <v>2019</v>
      </c>
      <c r="E579">
        <v>274670</v>
      </c>
      <c r="F579" t="str">
        <f>VLOOKUP(B579,'Facility List'!$B$2:$E$156,3,0)</f>
        <v>Region 12</v>
      </c>
    </row>
    <row r="580" spans="1:6" x14ac:dyDescent="0.25">
      <c r="A580" t="s">
        <v>352</v>
      </c>
      <c r="B580" t="s">
        <v>353</v>
      </c>
      <c r="C580" t="s">
        <v>354</v>
      </c>
      <c r="D580">
        <v>2020</v>
      </c>
      <c r="E580">
        <v>250500</v>
      </c>
      <c r="F580" t="str">
        <f>VLOOKUP(B580,'Facility List'!$B$2:$E$156,3,0)</f>
        <v>Region 12</v>
      </c>
    </row>
    <row r="581" spans="1:6" x14ac:dyDescent="0.25">
      <c r="A581" t="s">
        <v>352</v>
      </c>
      <c r="B581" t="s">
        <v>353</v>
      </c>
      <c r="C581" t="s">
        <v>354</v>
      </c>
      <c r="D581">
        <v>2021</v>
      </c>
      <c r="E581">
        <v>264459</v>
      </c>
      <c r="F581" t="str">
        <f>VLOOKUP(B581,'Facility List'!$B$2:$E$156,3,0)</f>
        <v>Region 12</v>
      </c>
    </row>
    <row r="582" spans="1:6" x14ac:dyDescent="0.25">
      <c r="A582" t="s">
        <v>355</v>
      </c>
      <c r="B582" t="s">
        <v>356</v>
      </c>
      <c r="C582" t="s">
        <v>357</v>
      </c>
      <c r="D582">
        <v>2017</v>
      </c>
      <c r="E582">
        <v>997983</v>
      </c>
      <c r="F582" t="str">
        <f>VLOOKUP(B582,'Facility List'!$B$2:$E$156,3,0)</f>
        <v>Region 12</v>
      </c>
    </row>
    <row r="583" spans="1:6" x14ac:dyDescent="0.25">
      <c r="A583" t="s">
        <v>355</v>
      </c>
      <c r="B583" t="s">
        <v>356</v>
      </c>
      <c r="C583" t="s">
        <v>357</v>
      </c>
      <c r="D583">
        <v>2018</v>
      </c>
      <c r="E583">
        <v>1090953.96</v>
      </c>
      <c r="F583" t="str">
        <f>VLOOKUP(B583,'Facility List'!$B$2:$E$156,3,0)</f>
        <v>Region 12</v>
      </c>
    </row>
    <row r="584" spans="1:6" x14ac:dyDescent="0.25">
      <c r="A584" t="s">
        <v>355</v>
      </c>
      <c r="B584" t="s">
        <v>356</v>
      </c>
      <c r="C584" t="s">
        <v>357</v>
      </c>
      <c r="D584">
        <v>2019</v>
      </c>
      <c r="E584">
        <v>1091956.17</v>
      </c>
      <c r="F584" t="str">
        <f>VLOOKUP(B584,'Facility List'!$B$2:$E$156,3,0)</f>
        <v>Region 12</v>
      </c>
    </row>
    <row r="585" spans="1:6" x14ac:dyDescent="0.25">
      <c r="A585" t="s">
        <v>355</v>
      </c>
      <c r="B585" t="s">
        <v>356</v>
      </c>
      <c r="C585" t="s">
        <v>357</v>
      </c>
      <c r="D585">
        <v>2020</v>
      </c>
      <c r="E585">
        <v>1070612.27</v>
      </c>
      <c r="F585" t="str">
        <f>VLOOKUP(B585,'Facility List'!$B$2:$E$156,3,0)</f>
        <v>Region 12</v>
      </c>
    </row>
    <row r="586" spans="1:6" x14ac:dyDescent="0.25">
      <c r="A586" t="s">
        <v>355</v>
      </c>
      <c r="B586" t="s">
        <v>356</v>
      </c>
      <c r="C586" t="s">
        <v>357</v>
      </c>
      <c r="D586">
        <v>2021</v>
      </c>
      <c r="E586">
        <v>1015140.03</v>
      </c>
      <c r="F586" t="str">
        <f>VLOOKUP(B586,'Facility List'!$B$2:$E$156,3,0)</f>
        <v>Region 12</v>
      </c>
    </row>
    <row r="587" spans="1:6" x14ac:dyDescent="0.25">
      <c r="A587" t="s">
        <v>358</v>
      </c>
      <c r="B587" t="s">
        <v>359</v>
      </c>
      <c r="C587" t="s">
        <v>360</v>
      </c>
      <c r="D587">
        <v>2017</v>
      </c>
      <c r="E587">
        <v>600736</v>
      </c>
      <c r="F587" t="str">
        <f>VLOOKUP(B587,'Facility List'!$B$2:$E$156,3,0)</f>
        <v>Region 12</v>
      </c>
    </row>
    <row r="588" spans="1:6" x14ac:dyDescent="0.25">
      <c r="A588" t="s">
        <v>358</v>
      </c>
      <c r="B588" t="s">
        <v>359</v>
      </c>
      <c r="C588" t="s">
        <v>360</v>
      </c>
      <c r="D588">
        <v>2018</v>
      </c>
      <c r="E588">
        <v>827930</v>
      </c>
      <c r="F588" t="str">
        <f>VLOOKUP(B588,'Facility List'!$B$2:$E$156,3,0)</f>
        <v>Region 12</v>
      </c>
    </row>
    <row r="589" spans="1:6" x14ac:dyDescent="0.25">
      <c r="A589" t="s">
        <v>358</v>
      </c>
      <c r="B589" t="s">
        <v>359</v>
      </c>
      <c r="C589" t="s">
        <v>360</v>
      </c>
      <c r="D589">
        <v>2019</v>
      </c>
      <c r="E589">
        <v>476150</v>
      </c>
      <c r="F589" t="str">
        <f>VLOOKUP(B589,'Facility List'!$B$2:$E$156,3,0)</f>
        <v>Region 12</v>
      </c>
    </row>
    <row r="590" spans="1:6" x14ac:dyDescent="0.25">
      <c r="A590" t="s">
        <v>358</v>
      </c>
      <c r="B590" t="s">
        <v>359</v>
      </c>
      <c r="C590" t="s">
        <v>360</v>
      </c>
      <c r="D590">
        <v>2020</v>
      </c>
      <c r="E590">
        <v>422856</v>
      </c>
      <c r="F590" t="str">
        <f>VLOOKUP(B590,'Facility List'!$B$2:$E$156,3,0)</f>
        <v>Region 12</v>
      </c>
    </row>
    <row r="591" spans="1:6" x14ac:dyDescent="0.25">
      <c r="A591" t="s">
        <v>358</v>
      </c>
      <c r="B591" t="s">
        <v>359</v>
      </c>
      <c r="C591" t="s">
        <v>360</v>
      </c>
      <c r="D591">
        <v>2021</v>
      </c>
      <c r="E591">
        <v>416851.08</v>
      </c>
      <c r="F591" t="str">
        <f>VLOOKUP(B591,'Facility List'!$B$2:$E$156,3,0)</f>
        <v>Region 12</v>
      </c>
    </row>
    <row r="592" spans="1:6" x14ac:dyDescent="0.25">
      <c r="A592" t="s">
        <v>361</v>
      </c>
      <c r="B592" t="s">
        <v>362</v>
      </c>
      <c r="C592" t="s">
        <v>363</v>
      </c>
      <c r="D592">
        <v>2017</v>
      </c>
      <c r="E592">
        <v>567386.17000000004</v>
      </c>
      <c r="F592" t="str">
        <f>VLOOKUP(B592,'Facility List'!$B$2:$E$156,3,0)</f>
        <v>Region 13</v>
      </c>
    </row>
    <row r="593" spans="1:6" x14ac:dyDescent="0.25">
      <c r="A593" t="s">
        <v>361</v>
      </c>
      <c r="B593" t="s">
        <v>362</v>
      </c>
      <c r="C593" t="s">
        <v>363</v>
      </c>
      <c r="D593">
        <v>2018</v>
      </c>
      <c r="E593">
        <v>622767.09</v>
      </c>
      <c r="F593" t="str">
        <f>VLOOKUP(B593,'Facility List'!$B$2:$E$156,3,0)</f>
        <v>Region 13</v>
      </c>
    </row>
    <row r="594" spans="1:6" x14ac:dyDescent="0.25">
      <c r="A594" t="s">
        <v>361</v>
      </c>
      <c r="B594" t="s">
        <v>362</v>
      </c>
      <c r="C594" t="s">
        <v>363</v>
      </c>
      <c r="D594">
        <v>2019</v>
      </c>
      <c r="E594">
        <v>666012.55000000005</v>
      </c>
      <c r="F594" t="str">
        <f>VLOOKUP(B594,'Facility List'!$B$2:$E$156,3,0)</f>
        <v>Region 13</v>
      </c>
    </row>
    <row r="595" spans="1:6" x14ac:dyDescent="0.25">
      <c r="A595" t="s">
        <v>361</v>
      </c>
      <c r="B595" t="s">
        <v>362</v>
      </c>
      <c r="C595" t="s">
        <v>363</v>
      </c>
      <c r="D595">
        <v>2020</v>
      </c>
      <c r="E595">
        <v>656918.77</v>
      </c>
      <c r="F595" t="str">
        <f>VLOOKUP(B595,'Facility List'!$B$2:$E$156,3,0)</f>
        <v>Region 13</v>
      </c>
    </row>
    <row r="596" spans="1:6" x14ac:dyDescent="0.25">
      <c r="A596" t="s">
        <v>361</v>
      </c>
      <c r="B596" t="s">
        <v>362</v>
      </c>
      <c r="C596" t="s">
        <v>363</v>
      </c>
      <c r="D596">
        <v>2021</v>
      </c>
      <c r="E596">
        <v>696468.23</v>
      </c>
      <c r="F596" t="str">
        <f>VLOOKUP(B596,'Facility List'!$B$2:$E$156,3,0)</f>
        <v>Region 13</v>
      </c>
    </row>
    <row r="597" spans="1:6" x14ac:dyDescent="0.25">
      <c r="A597" t="s">
        <v>364</v>
      </c>
      <c r="B597" t="s">
        <v>365</v>
      </c>
      <c r="C597" t="s">
        <v>366</v>
      </c>
      <c r="D597">
        <v>2017</v>
      </c>
      <c r="E597">
        <v>5.44</v>
      </c>
      <c r="F597" t="str">
        <f>VLOOKUP(B597,'Facility List'!$B$2:$E$156,3,0)</f>
        <v>Region 13</v>
      </c>
    </row>
    <row r="598" spans="1:6" x14ac:dyDescent="0.25">
      <c r="A598" t="s">
        <v>364</v>
      </c>
      <c r="B598" t="s">
        <v>365</v>
      </c>
      <c r="C598" t="s">
        <v>366</v>
      </c>
      <c r="D598">
        <v>2018</v>
      </c>
      <c r="E598">
        <v>0.04</v>
      </c>
      <c r="F598" t="str">
        <f>VLOOKUP(B598,'Facility List'!$B$2:$E$156,3,0)</f>
        <v>Region 13</v>
      </c>
    </row>
    <row r="599" spans="1:6" x14ac:dyDescent="0.25">
      <c r="A599" t="s">
        <v>364</v>
      </c>
      <c r="B599" t="s">
        <v>365</v>
      </c>
      <c r="C599" t="s">
        <v>366</v>
      </c>
      <c r="D599">
        <v>2019</v>
      </c>
      <c r="F599" t="str">
        <f>VLOOKUP(B599,'Facility List'!$B$2:$E$156,3,0)</f>
        <v>Region 13</v>
      </c>
    </row>
    <row r="600" spans="1:6" x14ac:dyDescent="0.25">
      <c r="A600" t="s">
        <v>364</v>
      </c>
      <c r="B600" t="s">
        <v>365</v>
      </c>
      <c r="C600" t="s">
        <v>366</v>
      </c>
      <c r="D600">
        <v>2020</v>
      </c>
      <c r="E600">
        <v>0.95</v>
      </c>
      <c r="F600" t="str">
        <f>VLOOKUP(B600,'Facility List'!$B$2:$E$156,3,0)</f>
        <v>Region 13</v>
      </c>
    </row>
    <row r="601" spans="1:6" x14ac:dyDescent="0.25">
      <c r="A601" t="s">
        <v>364</v>
      </c>
      <c r="B601" t="s">
        <v>365</v>
      </c>
      <c r="C601" t="s">
        <v>366</v>
      </c>
      <c r="D601">
        <v>2021</v>
      </c>
      <c r="E601">
        <v>0.95</v>
      </c>
      <c r="F601" t="str">
        <f>VLOOKUP(B601,'Facility List'!$B$2:$E$156,3,0)</f>
        <v>Region 13</v>
      </c>
    </row>
    <row r="602" spans="1:6" x14ac:dyDescent="0.25">
      <c r="A602" t="s">
        <v>367</v>
      </c>
      <c r="B602" s="1" t="s">
        <v>368</v>
      </c>
      <c r="C602" t="s">
        <v>369</v>
      </c>
      <c r="D602">
        <v>2017</v>
      </c>
      <c r="E602">
        <v>19339.57</v>
      </c>
      <c r="F602" t="str">
        <f>VLOOKUP(B602,'Facility List'!$B$2:$E$156,3,0)</f>
        <v>Region 13</v>
      </c>
    </row>
    <row r="603" spans="1:6" x14ac:dyDescent="0.25">
      <c r="A603" t="s">
        <v>367</v>
      </c>
      <c r="B603" s="1" t="s">
        <v>368</v>
      </c>
      <c r="C603" t="s">
        <v>369</v>
      </c>
      <c r="D603">
        <v>2018</v>
      </c>
      <c r="E603">
        <v>18241.599999999999</v>
      </c>
      <c r="F603" t="str">
        <f>VLOOKUP(B603,'Facility List'!$B$2:$E$156,3,0)</f>
        <v>Region 13</v>
      </c>
    </row>
    <row r="604" spans="1:6" x14ac:dyDescent="0.25">
      <c r="A604" t="s">
        <v>367</v>
      </c>
      <c r="B604" s="1" t="s">
        <v>368</v>
      </c>
      <c r="C604" t="s">
        <v>369</v>
      </c>
      <c r="D604">
        <v>2019</v>
      </c>
      <c r="E604">
        <v>21393.58</v>
      </c>
      <c r="F604" t="str">
        <f>VLOOKUP(B604,'Facility List'!$B$2:$E$156,3,0)</f>
        <v>Region 13</v>
      </c>
    </row>
    <row r="605" spans="1:6" x14ac:dyDescent="0.25">
      <c r="A605" t="s">
        <v>367</v>
      </c>
      <c r="B605" s="1" t="s">
        <v>368</v>
      </c>
      <c r="C605" t="s">
        <v>369</v>
      </c>
      <c r="D605">
        <v>2020</v>
      </c>
      <c r="E605">
        <v>21034.62</v>
      </c>
      <c r="F605" t="str">
        <f>VLOOKUP(B605,'Facility List'!$B$2:$E$156,3,0)</f>
        <v>Region 13</v>
      </c>
    </row>
    <row r="606" spans="1:6" x14ac:dyDescent="0.25">
      <c r="A606" t="s">
        <v>367</v>
      </c>
      <c r="B606" s="1" t="s">
        <v>368</v>
      </c>
      <c r="C606" t="s">
        <v>369</v>
      </c>
      <c r="D606">
        <v>2021</v>
      </c>
      <c r="E606">
        <v>23282.2</v>
      </c>
      <c r="F606" t="str">
        <f>VLOOKUP(B606,'Facility List'!$B$2:$E$156,3,0)</f>
        <v>Region 13</v>
      </c>
    </row>
    <row r="607" spans="1:6" x14ac:dyDescent="0.25">
      <c r="A607" t="s">
        <v>370</v>
      </c>
      <c r="B607" t="s">
        <v>371</v>
      </c>
      <c r="C607" t="s">
        <v>372</v>
      </c>
      <c r="D607">
        <v>2017</v>
      </c>
      <c r="E607">
        <v>32357.37</v>
      </c>
      <c r="F607" t="str">
        <f>VLOOKUP(B607,'Facility List'!$B$2:$E$156,3,0)</f>
        <v>Region 13</v>
      </c>
    </row>
    <row r="608" spans="1:6" x14ac:dyDescent="0.25">
      <c r="A608" t="s">
        <v>370</v>
      </c>
      <c r="B608" t="s">
        <v>371</v>
      </c>
      <c r="C608" t="s">
        <v>372</v>
      </c>
      <c r="D608">
        <v>2018</v>
      </c>
      <c r="E608">
        <v>34030.800000000003</v>
      </c>
      <c r="F608" t="str">
        <f>VLOOKUP(B608,'Facility List'!$B$2:$E$156,3,0)</f>
        <v>Region 13</v>
      </c>
    </row>
    <row r="609" spans="1:6" x14ac:dyDescent="0.25">
      <c r="A609" t="s">
        <v>370</v>
      </c>
      <c r="B609" t="s">
        <v>371</v>
      </c>
      <c r="C609" t="s">
        <v>372</v>
      </c>
      <c r="D609">
        <v>2019</v>
      </c>
      <c r="E609">
        <v>32830.199999999997</v>
      </c>
      <c r="F609" t="str">
        <f>VLOOKUP(B609,'Facility List'!$B$2:$E$156,3,0)</f>
        <v>Region 13</v>
      </c>
    </row>
    <row r="610" spans="1:6" x14ac:dyDescent="0.25">
      <c r="A610" t="s">
        <v>370</v>
      </c>
      <c r="B610" t="s">
        <v>371</v>
      </c>
      <c r="C610" t="s">
        <v>372</v>
      </c>
      <c r="D610">
        <v>2020</v>
      </c>
      <c r="E610">
        <v>34910.86</v>
      </c>
      <c r="F610" t="str">
        <f>VLOOKUP(B610,'Facility List'!$B$2:$E$156,3,0)</f>
        <v>Region 13</v>
      </c>
    </row>
    <row r="611" spans="1:6" x14ac:dyDescent="0.25">
      <c r="A611" t="s">
        <v>370</v>
      </c>
      <c r="B611" t="s">
        <v>371</v>
      </c>
      <c r="C611" t="s">
        <v>372</v>
      </c>
      <c r="D611">
        <v>2021</v>
      </c>
      <c r="E611">
        <v>34350.370000000003</v>
      </c>
      <c r="F611" t="str">
        <f>VLOOKUP(B611,'Facility List'!$B$2:$E$156,3,0)</f>
        <v>Region 13</v>
      </c>
    </row>
    <row r="612" spans="1:6" x14ac:dyDescent="0.25">
      <c r="A612" t="s">
        <v>373</v>
      </c>
      <c r="B612" t="s">
        <v>374</v>
      </c>
      <c r="C612" t="s">
        <v>375</v>
      </c>
      <c r="D612">
        <v>2017</v>
      </c>
      <c r="E612">
        <v>707847.48</v>
      </c>
      <c r="F612" t="str">
        <f>VLOOKUP(B612,'Facility List'!$B$2:$E$156,3,0)</f>
        <v>Region 13</v>
      </c>
    </row>
    <row r="613" spans="1:6" x14ac:dyDescent="0.25">
      <c r="A613" t="s">
        <v>373</v>
      </c>
      <c r="B613" t="s">
        <v>374</v>
      </c>
      <c r="C613" t="s">
        <v>375</v>
      </c>
      <c r="D613">
        <v>2018</v>
      </c>
      <c r="E613">
        <v>684542.77</v>
      </c>
      <c r="F613" t="str">
        <f>VLOOKUP(B613,'Facility List'!$B$2:$E$156,3,0)</f>
        <v>Region 13</v>
      </c>
    </row>
    <row r="614" spans="1:6" x14ac:dyDescent="0.25">
      <c r="A614" t="s">
        <v>373</v>
      </c>
      <c r="B614" t="s">
        <v>374</v>
      </c>
      <c r="C614" t="s">
        <v>375</v>
      </c>
      <c r="D614">
        <v>2019</v>
      </c>
      <c r="E614">
        <v>686233.2</v>
      </c>
      <c r="F614" t="str">
        <f>VLOOKUP(B614,'Facility List'!$B$2:$E$156,3,0)</f>
        <v>Region 13</v>
      </c>
    </row>
    <row r="615" spans="1:6" x14ac:dyDescent="0.25">
      <c r="A615" t="s">
        <v>373</v>
      </c>
      <c r="B615" t="s">
        <v>374</v>
      </c>
      <c r="C615" t="s">
        <v>375</v>
      </c>
      <c r="D615">
        <v>2020</v>
      </c>
      <c r="E615">
        <v>691850.1</v>
      </c>
      <c r="F615" t="str">
        <f>VLOOKUP(B615,'Facility List'!$B$2:$E$156,3,0)</f>
        <v>Region 13</v>
      </c>
    </row>
    <row r="616" spans="1:6" x14ac:dyDescent="0.25">
      <c r="A616" t="s">
        <v>373</v>
      </c>
      <c r="B616" t="s">
        <v>374</v>
      </c>
      <c r="C616" t="s">
        <v>375</v>
      </c>
      <c r="D616">
        <v>2021</v>
      </c>
      <c r="E616">
        <v>733843.14</v>
      </c>
      <c r="F616" t="str">
        <f>VLOOKUP(B616,'Facility List'!$B$2:$E$156,3,0)</f>
        <v>Region 13</v>
      </c>
    </row>
    <row r="617" spans="1:6" x14ac:dyDescent="0.25">
      <c r="A617" t="s">
        <v>376</v>
      </c>
      <c r="B617" s="1" t="s">
        <v>377</v>
      </c>
      <c r="C617" t="s">
        <v>378</v>
      </c>
      <c r="D617">
        <v>2017</v>
      </c>
      <c r="F617" t="str">
        <f>VLOOKUP(B617,'Facility List'!$B$2:$E$156,3,0)</f>
        <v>Region 13</v>
      </c>
    </row>
    <row r="618" spans="1:6" x14ac:dyDescent="0.25">
      <c r="A618" t="s">
        <v>376</v>
      </c>
      <c r="B618" s="1" t="s">
        <v>377</v>
      </c>
      <c r="C618" t="s">
        <v>378</v>
      </c>
      <c r="D618">
        <v>2018</v>
      </c>
      <c r="F618" t="str">
        <f>VLOOKUP(B618,'Facility List'!$B$2:$E$156,3,0)</f>
        <v>Region 13</v>
      </c>
    </row>
    <row r="619" spans="1:6" x14ac:dyDescent="0.25">
      <c r="A619" t="s">
        <v>376</v>
      </c>
      <c r="B619" s="1" t="s">
        <v>377</v>
      </c>
      <c r="C619" t="s">
        <v>378</v>
      </c>
      <c r="D619">
        <v>2019</v>
      </c>
      <c r="F619" t="str">
        <f>VLOOKUP(B619,'Facility List'!$B$2:$E$156,3,0)</f>
        <v>Region 13</v>
      </c>
    </row>
    <row r="620" spans="1:6" x14ac:dyDescent="0.25">
      <c r="A620" t="s">
        <v>376</v>
      </c>
      <c r="B620" s="1" t="s">
        <v>377</v>
      </c>
      <c r="C620" t="s">
        <v>378</v>
      </c>
      <c r="D620">
        <v>2020</v>
      </c>
      <c r="F620" t="str">
        <f>VLOOKUP(B620,'Facility List'!$B$2:$E$156,3,0)</f>
        <v>Region 13</v>
      </c>
    </row>
    <row r="621" spans="1:6" x14ac:dyDescent="0.25">
      <c r="A621" t="s">
        <v>376</v>
      </c>
      <c r="B621" s="1" t="s">
        <v>377</v>
      </c>
      <c r="C621" t="s">
        <v>378</v>
      </c>
      <c r="D621">
        <v>2021</v>
      </c>
      <c r="E621">
        <v>2809.96</v>
      </c>
      <c r="F621" t="str">
        <f>VLOOKUP(B621,'Facility List'!$B$2:$E$156,3,0)</f>
        <v>Region 13</v>
      </c>
    </row>
    <row r="622" spans="1:6" x14ac:dyDescent="0.25">
      <c r="A622" t="s">
        <v>379</v>
      </c>
      <c r="B622" t="s">
        <v>380</v>
      </c>
      <c r="C622" t="s">
        <v>381</v>
      </c>
      <c r="D622">
        <v>2017</v>
      </c>
      <c r="E622">
        <v>212347.6</v>
      </c>
      <c r="F622" t="str">
        <f>VLOOKUP(B622,'Facility List'!$B$2:$E$156,3,0)</f>
        <v>Region 13</v>
      </c>
    </row>
    <row r="623" spans="1:6" x14ac:dyDescent="0.25">
      <c r="A623" t="s">
        <v>379</v>
      </c>
      <c r="B623" t="s">
        <v>380</v>
      </c>
      <c r="C623" t="s">
        <v>381</v>
      </c>
      <c r="D623">
        <v>2018</v>
      </c>
      <c r="E623">
        <v>184058.8</v>
      </c>
      <c r="F623" t="str">
        <f>VLOOKUP(B623,'Facility List'!$B$2:$E$156,3,0)</f>
        <v>Region 13</v>
      </c>
    </row>
    <row r="624" spans="1:6" x14ac:dyDescent="0.25">
      <c r="A624" t="s">
        <v>379</v>
      </c>
      <c r="B624" t="s">
        <v>380</v>
      </c>
      <c r="C624" t="s">
        <v>381</v>
      </c>
      <c r="D624">
        <v>2019</v>
      </c>
      <c r="E624">
        <v>193484.65</v>
      </c>
      <c r="F624" t="str">
        <f>VLOOKUP(B624,'Facility List'!$B$2:$E$156,3,0)</f>
        <v>Region 13</v>
      </c>
    </row>
    <row r="625" spans="1:6" x14ac:dyDescent="0.25">
      <c r="A625" t="s">
        <v>379</v>
      </c>
      <c r="B625" t="s">
        <v>380</v>
      </c>
      <c r="C625" t="s">
        <v>381</v>
      </c>
      <c r="D625">
        <v>2020</v>
      </c>
      <c r="E625">
        <v>210253.97</v>
      </c>
      <c r="F625" t="str">
        <f>VLOOKUP(B625,'Facility List'!$B$2:$E$156,3,0)</f>
        <v>Region 13</v>
      </c>
    </row>
    <row r="626" spans="1:6" x14ac:dyDescent="0.25">
      <c r="A626" t="s">
        <v>379</v>
      </c>
      <c r="B626" t="s">
        <v>380</v>
      </c>
      <c r="C626" t="s">
        <v>381</v>
      </c>
      <c r="D626">
        <v>2021</v>
      </c>
      <c r="E626">
        <v>239143.4</v>
      </c>
      <c r="F626" t="str">
        <f>VLOOKUP(B626,'Facility List'!$B$2:$E$156,3,0)</f>
        <v>Region 13</v>
      </c>
    </row>
    <row r="627" spans="1:6" x14ac:dyDescent="0.25">
      <c r="A627" t="s">
        <v>382</v>
      </c>
      <c r="B627" t="s">
        <v>383</v>
      </c>
      <c r="C627" t="s">
        <v>384</v>
      </c>
      <c r="D627">
        <v>2017</v>
      </c>
      <c r="E627">
        <v>124740</v>
      </c>
      <c r="F627" t="str">
        <f>VLOOKUP(B627,'Facility List'!$B$2:$E$156,3,0)</f>
        <v>Region 14</v>
      </c>
    </row>
    <row r="628" spans="1:6" x14ac:dyDescent="0.25">
      <c r="A628" t="s">
        <v>382</v>
      </c>
      <c r="B628" t="s">
        <v>383</v>
      </c>
      <c r="C628" t="s">
        <v>384</v>
      </c>
      <c r="D628">
        <v>2018</v>
      </c>
      <c r="E628">
        <v>189644.5</v>
      </c>
      <c r="F628" t="str">
        <f>VLOOKUP(B628,'Facility List'!$B$2:$E$156,3,0)</f>
        <v>Region 14</v>
      </c>
    </row>
    <row r="629" spans="1:6" x14ac:dyDescent="0.25">
      <c r="A629" t="s">
        <v>382</v>
      </c>
      <c r="B629" t="s">
        <v>383</v>
      </c>
      <c r="C629" t="s">
        <v>384</v>
      </c>
      <c r="D629">
        <v>2019</v>
      </c>
      <c r="E629">
        <v>130649</v>
      </c>
      <c r="F629" t="str">
        <f>VLOOKUP(B629,'Facility List'!$B$2:$E$156,3,0)</f>
        <v>Region 14</v>
      </c>
    </row>
    <row r="630" spans="1:6" x14ac:dyDescent="0.25">
      <c r="A630" t="s">
        <v>382</v>
      </c>
      <c r="B630" t="s">
        <v>383</v>
      </c>
      <c r="C630" t="s">
        <v>384</v>
      </c>
      <c r="D630">
        <v>2020</v>
      </c>
      <c r="E630">
        <v>132722</v>
      </c>
      <c r="F630" t="str">
        <f>VLOOKUP(B630,'Facility List'!$B$2:$E$156,3,0)</f>
        <v>Region 14</v>
      </c>
    </row>
    <row r="631" spans="1:6" x14ac:dyDescent="0.25">
      <c r="A631" t="s">
        <v>382</v>
      </c>
      <c r="B631" t="s">
        <v>383</v>
      </c>
      <c r="C631" t="s">
        <v>384</v>
      </c>
      <c r="D631">
        <v>2021</v>
      </c>
      <c r="E631">
        <v>129295</v>
      </c>
      <c r="F631" t="str">
        <f>VLOOKUP(B631,'Facility List'!$B$2:$E$156,3,0)</f>
        <v>Region 14</v>
      </c>
    </row>
    <row r="632" spans="1:6" x14ac:dyDescent="0.25">
      <c r="A632" t="s">
        <v>385</v>
      </c>
      <c r="B632" t="s">
        <v>386</v>
      </c>
      <c r="C632" t="s">
        <v>387</v>
      </c>
      <c r="D632">
        <v>2017</v>
      </c>
      <c r="E632">
        <v>61201.54</v>
      </c>
      <c r="F632" t="str">
        <f>VLOOKUP(B632,'Facility List'!$B$2:$E$156,3,0)</f>
        <v>Region 14</v>
      </c>
    </row>
    <row r="633" spans="1:6" x14ac:dyDescent="0.25">
      <c r="A633" t="s">
        <v>385</v>
      </c>
      <c r="B633" t="s">
        <v>386</v>
      </c>
      <c r="C633" t="s">
        <v>387</v>
      </c>
      <c r="D633">
        <v>2018</v>
      </c>
      <c r="E633">
        <v>106588.84</v>
      </c>
      <c r="F633" t="str">
        <f>VLOOKUP(B633,'Facility List'!$B$2:$E$156,3,0)</f>
        <v>Region 14</v>
      </c>
    </row>
    <row r="634" spans="1:6" x14ac:dyDescent="0.25">
      <c r="A634" t="s">
        <v>385</v>
      </c>
      <c r="B634" t="s">
        <v>386</v>
      </c>
      <c r="C634" t="s">
        <v>387</v>
      </c>
      <c r="D634">
        <v>2019</v>
      </c>
      <c r="E634">
        <v>78994.41</v>
      </c>
      <c r="F634" t="str">
        <f>VLOOKUP(B634,'Facility List'!$B$2:$E$156,3,0)</f>
        <v>Region 14</v>
      </c>
    </row>
    <row r="635" spans="1:6" x14ac:dyDescent="0.25">
      <c r="A635" t="s">
        <v>385</v>
      </c>
      <c r="B635" t="s">
        <v>386</v>
      </c>
      <c r="C635" t="s">
        <v>387</v>
      </c>
      <c r="D635">
        <v>2020</v>
      </c>
      <c r="E635">
        <v>78269</v>
      </c>
      <c r="F635" t="str">
        <f>VLOOKUP(B635,'Facility List'!$B$2:$E$156,3,0)</f>
        <v>Region 14</v>
      </c>
    </row>
    <row r="636" spans="1:6" x14ac:dyDescent="0.25">
      <c r="A636" t="s">
        <v>385</v>
      </c>
      <c r="B636" t="s">
        <v>386</v>
      </c>
      <c r="C636" t="s">
        <v>387</v>
      </c>
      <c r="D636">
        <v>2021</v>
      </c>
      <c r="E636">
        <v>97318.43</v>
      </c>
      <c r="F636" t="str">
        <f>VLOOKUP(B636,'Facility List'!$B$2:$E$156,3,0)</f>
        <v>Region 14</v>
      </c>
    </row>
    <row r="637" spans="1:6" x14ac:dyDescent="0.25">
      <c r="A637" t="s">
        <v>388</v>
      </c>
      <c r="B637" t="s">
        <v>389</v>
      </c>
      <c r="C637" t="s">
        <v>390</v>
      </c>
      <c r="D637">
        <v>2017</v>
      </c>
      <c r="E637">
        <v>338720.47</v>
      </c>
      <c r="F637" t="str">
        <f>VLOOKUP(B637,'Facility List'!$B$2:$E$156,3,0)</f>
        <v>Region 14</v>
      </c>
    </row>
    <row r="638" spans="1:6" x14ac:dyDescent="0.25">
      <c r="A638" t="s">
        <v>388</v>
      </c>
      <c r="B638" t="s">
        <v>389</v>
      </c>
      <c r="C638" t="s">
        <v>390</v>
      </c>
      <c r="D638">
        <v>2018</v>
      </c>
      <c r="E638">
        <v>373803.96</v>
      </c>
      <c r="F638" t="str">
        <f>VLOOKUP(B638,'Facility List'!$B$2:$E$156,3,0)</f>
        <v>Region 14</v>
      </c>
    </row>
    <row r="639" spans="1:6" x14ac:dyDescent="0.25">
      <c r="A639" t="s">
        <v>388</v>
      </c>
      <c r="B639" t="s">
        <v>389</v>
      </c>
      <c r="C639" t="s">
        <v>390</v>
      </c>
      <c r="D639">
        <v>2019</v>
      </c>
      <c r="E639">
        <v>364740</v>
      </c>
      <c r="F639" t="str">
        <f>VLOOKUP(B639,'Facility List'!$B$2:$E$156,3,0)</f>
        <v>Region 14</v>
      </c>
    </row>
    <row r="640" spans="1:6" x14ac:dyDescent="0.25">
      <c r="A640" t="s">
        <v>388</v>
      </c>
      <c r="B640" t="s">
        <v>389</v>
      </c>
      <c r="C640" t="s">
        <v>390</v>
      </c>
      <c r="D640">
        <v>2020</v>
      </c>
      <c r="E640">
        <v>361377.08</v>
      </c>
      <c r="F640" t="str">
        <f>VLOOKUP(B640,'Facility List'!$B$2:$E$156,3,0)</f>
        <v>Region 14</v>
      </c>
    </row>
    <row r="641" spans="1:6" x14ac:dyDescent="0.25">
      <c r="A641" t="s">
        <v>388</v>
      </c>
      <c r="B641" t="s">
        <v>389</v>
      </c>
      <c r="C641" t="s">
        <v>390</v>
      </c>
      <c r="D641">
        <v>2021</v>
      </c>
      <c r="E641">
        <v>368695.33</v>
      </c>
      <c r="F641" t="str">
        <f>VLOOKUP(B641,'Facility List'!$B$2:$E$156,3,0)</f>
        <v>Region 14</v>
      </c>
    </row>
    <row r="642" spans="1:6" x14ac:dyDescent="0.25">
      <c r="A642" t="s">
        <v>391</v>
      </c>
      <c r="B642" t="s">
        <v>392</v>
      </c>
      <c r="C642" t="s">
        <v>393</v>
      </c>
      <c r="D642">
        <v>2017</v>
      </c>
      <c r="E642">
        <v>24048.18</v>
      </c>
      <c r="F642" t="str">
        <f>VLOOKUP(B642,'Facility List'!$B$2:$E$156,3,0)</f>
        <v>Region 14</v>
      </c>
    </row>
    <row r="643" spans="1:6" x14ac:dyDescent="0.25">
      <c r="A643" t="s">
        <v>391</v>
      </c>
      <c r="B643" t="s">
        <v>392</v>
      </c>
      <c r="C643" t="s">
        <v>393</v>
      </c>
      <c r="D643">
        <v>2018</v>
      </c>
      <c r="E643">
        <v>22049.759999999998</v>
      </c>
      <c r="F643" t="str">
        <f>VLOOKUP(B643,'Facility List'!$B$2:$E$156,3,0)</f>
        <v>Region 14</v>
      </c>
    </row>
    <row r="644" spans="1:6" x14ac:dyDescent="0.25">
      <c r="A644" t="s">
        <v>391</v>
      </c>
      <c r="B644" t="s">
        <v>392</v>
      </c>
      <c r="C644" t="s">
        <v>393</v>
      </c>
      <c r="D644">
        <v>2019</v>
      </c>
      <c r="E644">
        <v>30584</v>
      </c>
      <c r="F644" t="str">
        <f>VLOOKUP(B644,'Facility List'!$B$2:$E$156,3,0)</f>
        <v>Region 14</v>
      </c>
    </row>
    <row r="645" spans="1:6" x14ac:dyDescent="0.25">
      <c r="A645" t="s">
        <v>391</v>
      </c>
      <c r="B645" t="s">
        <v>392</v>
      </c>
      <c r="C645" t="s">
        <v>393</v>
      </c>
      <c r="D645">
        <v>2020</v>
      </c>
      <c r="E645">
        <v>24180.17</v>
      </c>
      <c r="F645" t="str">
        <f>VLOOKUP(B645,'Facility List'!$B$2:$E$156,3,0)</f>
        <v>Region 14</v>
      </c>
    </row>
    <row r="646" spans="1:6" x14ac:dyDescent="0.25">
      <c r="A646" t="s">
        <v>391</v>
      </c>
      <c r="B646" t="s">
        <v>392</v>
      </c>
      <c r="C646" t="s">
        <v>393</v>
      </c>
      <c r="D646">
        <v>2021</v>
      </c>
      <c r="E646">
        <v>26124.35</v>
      </c>
      <c r="F646" t="str">
        <f>VLOOKUP(B646,'Facility List'!$B$2:$E$156,3,0)</f>
        <v>Region 14</v>
      </c>
    </row>
    <row r="647" spans="1:6" x14ac:dyDescent="0.25">
      <c r="A647" t="s">
        <v>394</v>
      </c>
      <c r="B647" t="s">
        <v>395</v>
      </c>
      <c r="C647" t="s">
        <v>396</v>
      </c>
      <c r="D647">
        <v>2017</v>
      </c>
      <c r="E647">
        <v>22184.93</v>
      </c>
      <c r="F647" t="str">
        <f>VLOOKUP(B647,'Facility List'!$B$2:$E$156,3,0)</f>
        <v>Region 14</v>
      </c>
    </row>
    <row r="648" spans="1:6" x14ac:dyDescent="0.25">
      <c r="A648" t="s">
        <v>394</v>
      </c>
      <c r="B648" t="s">
        <v>395</v>
      </c>
      <c r="C648" t="s">
        <v>396</v>
      </c>
      <c r="D648">
        <v>2018</v>
      </c>
      <c r="E648">
        <v>22788.880000000001</v>
      </c>
      <c r="F648" t="str">
        <f>VLOOKUP(B648,'Facility List'!$B$2:$E$156,3,0)</f>
        <v>Region 14</v>
      </c>
    </row>
    <row r="649" spans="1:6" x14ac:dyDescent="0.25">
      <c r="A649" t="s">
        <v>394</v>
      </c>
      <c r="B649" t="s">
        <v>395</v>
      </c>
      <c r="C649" t="s">
        <v>396</v>
      </c>
      <c r="D649">
        <v>2019</v>
      </c>
      <c r="E649">
        <v>24543.52</v>
      </c>
      <c r="F649" t="str">
        <f>VLOOKUP(B649,'Facility List'!$B$2:$E$156,3,0)</f>
        <v>Region 14</v>
      </c>
    </row>
    <row r="650" spans="1:6" x14ac:dyDescent="0.25">
      <c r="A650" t="s">
        <v>394</v>
      </c>
      <c r="B650" t="s">
        <v>395</v>
      </c>
      <c r="C650" t="s">
        <v>396</v>
      </c>
      <c r="D650">
        <v>2020</v>
      </c>
      <c r="E650">
        <v>23884.89</v>
      </c>
      <c r="F650" t="str">
        <f>VLOOKUP(B650,'Facility List'!$B$2:$E$156,3,0)</f>
        <v>Region 14</v>
      </c>
    </row>
    <row r="651" spans="1:6" x14ac:dyDescent="0.25">
      <c r="A651" t="s">
        <v>394</v>
      </c>
      <c r="B651" t="s">
        <v>395</v>
      </c>
      <c r="C651" t="s">
        <v>396</v>
      </c>
      <c r="D651">
        <v>2021</v>
      </c>
      <c r="E651">
        <v>24584.11</v>
      </c>
      <c r="F651" t="str">
        <f>VLOOKUP(B651,'Facility List'!$B$2:$E$156,3,0)</f>
        <v>Region 14</v>
      </c>
    </row>
    <row r="652" spans="1:6" x14ac:dyDescent="0.25">
      <c r="A652" t="s">
        <v>397</v>
      </c>
      <c r="B652" t="s">
        <v>398</v>
      </c>
      <c r="C652" t="s">
        <v>399</v>
      </c>
      <c r="D652">
        <v>2017</v>
      </c>
      <c r="E652">
        <v>238456.1</v>
      </c>
      <c r="F652" t="str">
        <f>VLOOKUP(B652,'Facility List'!$B$2:$E$156,3,0)</f>
        <v>Region 15</v>
      </c>
    </row>
    <row r="653" spans="1:6" x14ac:dyDescent="0.25">
      <c r="A653" t="s">
        <v>397</v>
      </c>
      <c r="B653" t="s">
        <v>398</v>
      </c>
      <c r="C653" t="s">
        <v>399</v>
      </c>
      <c r="D653">
        <v>2018</v>
      </c>
      <c r="E653">
        <v>242279.4</v>
      </c>
      <c r="F653" t="str">
        <f>VLOOKUP(B653,'Facility List'!$B$2:$E$156,3,0)</f>
        <v>Region 15</v>
      </c>
    </row>
    <row r="654" spans="1:6" x14ac:dyDescent="0.25">
      <c r="A654" t="s">
        <v>397</v>
      </c>
      <c r="B654" t="s">
        <v>398</v>
      </c>
      <c r="C654" t="s">
        <v>399</v>
      </c>
      <c r="D654">
        <v>2019</v>
      </c>
      <c r="E654">
        <v>245595.3</v>
      </c>
      <c r="F654" t="str">
        <f>VLOOKUP(B654,'Facility List'!$B$2:$E$156,3,0)</f>
        <v>Region 15</v>
      </c>
    </row>
    <row r="655" spans="1:6" x14ac:dyDescent="0.25">
      <c r="A655" t="s">
        <v>397</v>
      </c>
      <c r="B655" t="s">
        <v>398</v>
      </c>
      <c r="C655" t="s">
        <v>399</v>
      </c>
      <c r="D655">
        <v>2020</v>
      </c>
      <c r="E655">
        <v>244462.29</v>
      </c>
      <c r="F655" t="str">
        <f>VLOOKUP(B655,'Facility List'!$B$2:$E$156,3,0)</f>
        <v>Region 15</v>
      </c>
    </row>
    <row r="656" spans="1:6" x14ac:dyDescent="0.25">
      <c r="A656" t="s">
        <v>397</v>
      </c>
      <c r="B656" t="s">
        <v>398</v>
      </c>
      <c r="C656" t="s">
        <v>399</v>
      </c>
      <c r="D656">
        <v>2021</v>
      </c>
      <c r="E656">
        <v>270036.23</v>
      </c>
      <c r="F656" t="str">
        <f>VLOOKUP(B656,'Facility List'!$B$2:$E$156,3,0)</f>
        <v>Region 15</v>
      </c>
    </row>
    <row r="657" spans="1:6" x14ac:dyDescent="0.25">
      <c r="A657" t="s">
        <v>400</v>
      </c>
      <c r="B657" t="s">
        <v>401</v>
      </c>
      <c r="C657" t="s">
        <v>402</v>
      </c>
      <c r="D657">
        <v>2017</v>
      </c>
      <c r="E657">
        <v>226602.88</v>
      </c>
      <c r="F657" t="str">
        <f>VLOOKUP(B657,'Facility List'!$B$2:$E$156,3,0)</f>
        <v>Region 15</v>
      </c>
    </row>
    <row r="658" spans="1:6" x14ac:dyDescent="0.25">
      <c r="A658" t="s">
        <v>400</v>
      </c>
      <c r="B658" t="s">
        <v>401</v>
      </c>
      <c r="C658" t="s">
        <v>402</v>
      </c>
      <c r="D658">
        <v>2018</v>
      </c>
      <c r="E658">
        <v>246999.07</v>
      </c>
      <c r="F658" t="str">
        <f>VLOOKUP(B658,'Facility List'!$B$2:$E$156,3,0)</f>
        <v>Region 15</v>
      </c>
    </row>
    <row r="659" spans="1:6" x14ac:dyDescent="0.25">
      <c r="A659" t="s">
        <v>400</v>
      </c>
      <c r="B659" t="s">
        <v>401</v>
      </c>
      <c r="C659" t="s">
        <v>402</v>
      </c>
      <c r="D659">
        <v>2019</v>
      </c>
      <c r="E659">
        <v>267309.7</v>
      </c>
      <c r="F659" t="str">
        <f>VLOOKUP(B659,'Facility List'!$B$2:$E$156,3,0)</f>
        <v>Region 15</v>
      </c>
    </row>
    <row r="660" spans="1:6" x14ac:dyDescent="0.25">
      <c r="A660" t="s">
        <v>400</v>
      </c>
      <c r="B660" t="s">
        <v>401</v>
      </c>
      <c r="C660" t="s">
        <v>402</v>
      </c>
      <c r="D660">
        <v>2020</v>
      </c>
      <c r="E660">
        <v>259959.29</v>
      </c>
      <c r="F660" t="str">
        <f>VLOOKUP(B660,'Facility List'!$B$2:$E$156,3,0)</f>
        <v>Region 15</v>
      </c>
    </row>
    <row r="661" spans="1:6" x14ac:dyDescent="0.25">
      <c r="A661" t="s">
        <v>400</v>
      </c>
      <c r="B661" t="s">
        <v>401</v>
      </c>
      <c r="C661" t="s">
        <v>402</v>
      </c>
      <c r="D661">
        <v>2021</v>
      </c>
      <c r="E661">
        <v>344785.86</v>
      </c>
      <c r="F661" t="str">
        <f>VLOOKUP(B661,'Facility List'!$B$2:$E$156,3,0)</f>
        <v>Region 15</v>
      </c>
    </row>
    <row r="662" spans="1:6" x14ac:dyDescent="0.25">
      <c r="A662" t="s">
        <v>403</v>
      </c>
      <c r="B662" t="s">
        <v>404</v>
      </c>
      <c r="C662" t="s">
        <v>405</v>
      </c>
      <c r="D662">
        <v>2017</v>
      </c>
      <c r="E662">
        <v>3411</v>
      </c>
      <c r="F662" t="str">
        <f>VLOOKUP(B662,'Facility List'!$B$2:$E$156,3,0)</f>
        <v>Region 15</v>
      </c>
    </row>
    <row r="663" spans="1:6" x14ac:dyDescent="0.25">
      <c r="A663" t="s">
        <v>403</v>
      </c>
      <c r="B663" t="s">
        <v>404</v>
      </c>
      <c r="C663" t="s">
        <v>405</v>
      </c>
      <c r="D663">
        <v>2018</v>
      </c>
      <c r="E663">
        <v>3078</v>
      </c>
      <c r="F663" t="str">
        <f>VLOOKUP(B663,'Facility List'!$B$2:$E$156,3,0)</f>
        <v>Region 15</v>
      </c>
    </row>
    <row r="664" spans="1:6" x14ac:dyDescent="0.25">
      <c r="A664" t="s">
        <v>403</v>
      </c>
      <c r="B664" t="s">
        <v>404</v>
      </c>
      <c r="C664" t="s">
        <v>405</v>
      </c>
      <c r="D664">
        <v>2019</v>
      </c>
      <c r="E664">
        <v>3209</v>
      </c>
      <c r="F664" t="str">
        <f>VLOOKUP(B664,'Facility List'!$B$2:$E$156,3,0)</f>
        <v>Region 15</v>
      </c>
    </row>
    <row r="665" spans="1:6" x14ac:dyDescent="0.25">
      <c r="A665" t="s">
        <v>403</v>
      </c>
      <c r="B665" t="s">
        <v>404</v>
      </c>
      <c r="C665" t="s">
        <v>405</v>
      </c>
      <c r="D665">
        <v>2020</v>
      </c>
      <c r="E665">
        <v>3998</v>
      </c>
      <c r="F665" t="str">
        <f>VLOOKUP(B665,'Facility List'!$B$2:$E$156,3,0)</f>
        <v>Region 15</v>
      </c>
    </row>
    <row r="666" spans="1:6" x14ac:dyDescent="0.25">
      <c r="A666" t="s">
        <v>403</v>
      </c>
      <c r="B666" t="s">
        <v>404</v>
      </c>
      <c r="C666" t="s">
        <v>405</v>
      </c>
      <c r="D666">
        <v>2021</v>
      </c>
      <c r="E666">
        <v>6748</v>
      </c>
      <c r="F666" t="str">
        <f>VLOOKUP(B666,'Facility List'!$B$2:$E$156,3,0)</f>
        <v>Region 15</v>
      </c>
    </row>
    <row r="667" spans="1:6" x14ac:dyDescent="0.25">
      <c r="A667" t="s">
        <v>406</v>
      </c>
      <c r="B667" t="s">
        <v>407</v>
      </c>
      <c r="C667" t="s">
        <v>408</v>
      </c>
      <c r="D667">
        <v>2017</v>
      </c>
      <c r="E667">
        <v>476632</v>
      </c>
      <c r="F667" t="str">
        <f>VLOOKUP(B667,'Facility List'!$B$2:$E$156,3,0)</f>
        <v>Region 15</v>
      </c>
    </row>
    <row r="668" spans="1:6" x14ac:dyDescent="0.25">
      <c r="A668" t="s">
        <v>406</v>
      </c>
      <c r="B668" t="s">
        <v>407</v>
      </c>
      <c r="C668" t="s">
        <v>408</v>
      </c>
      <c r="D668">
        <v>2018</v>
      </c>
      <c r="E668">
        <v>477887</v>
      </c>
      <c r="F668" t="str">
        <f>VLOOKUP(B668,'Facility List'!$B$2:$E$156,3,0)</f>
        <v>Region 15</v>
      </c>
    </row>
    <row r="669" spans="1:6" x14ac:dyDescent="0.25">
      <c r="A669" t="s">
        <v>406</v>
      </c>
      <c r="B669" t="s">
        <v>407</v>
      </c>
      <c r="C669" t="s">
        <v>408</v>
      </c>
      <c r="D669">
        <v>2019</v>
      </c>
      <c r="E669">
        <v>489398</v>
      </c>
      <c r="F669" t="str">
        <f>VLOOKUP(B669,'Facility List'!$B$2:$E$156,3,0)</f>
        <v>Region 15</v>
      </c>
    </row>
    <row r="670" spans="1:6" x14ac:dyDescent="0.25">
      <c r="A670" t="s">
        <v>406</v>
      </c>
      <c r="B670" t="s">
        <v>407</v>
      </c>
      <c r="C670" t="s">
        <v>408</v>
      </c>
      <c r="D670">
        <v>2020</v>
      </c>
      <c r="E670">
        <v>489106</v>
      </c>
      <c r="F670" t="str">
        <f>VLOOKUP(B670,'Facility List'!$B$2:$E$156,3,0)</f>
        <v>Region 15</v>
      </c>
    </row>
    <row r="671" spans="1:6" x14ac:dyDescent="0.25">
      <c r="A671" t="s">
        <v>406</v>
      </c>
      <c r="B671" t="s">
        <v>407</v>
      </c>
      <c r="C671" t="s">
        <v>408</v>
      </c>
      <c r="D671">
        <v>2021</v>
      </c>
      <c r="E671">
        <v>525466.99</v>
      </c>
      <c r="F671" t="str">
        <f>VLOOKUP(B671,'Facility List'!$B$2:$E$156,3,0)</f>
        <v>Region 15</v>
      </c>
    </row>
    <row r="672" spans="1:6" x14ac:dyDescent="0.25">
      <c r="A672" t="s">
        <v>409</v>
      </c>
      <c r="B672" t="s">
        <v>410</v>
      </c>
      <c r="C672" t="s">
        <v>411</v>
      </c>
      <c r="D672">
        <v>2017</v>
      </c>
      <c r="E672">
        <v>3902.89</v>
      </c>
      <c r="F672" t="str">
        <f>VLOOKUP(B672,'Facility List'!$B$2:$E$156,3,0)</f>
        <v>Region 16</v>
      </c>
    </row>
    <row r="673" spans="1:6" x14ac:dyDescent="0.25">
      <c r="A673" t="s">
        <v>409</v>
      </c>
      <c r="B673" t="s">
        <v>410</v>
      </c>
      <c r="C673" t="s">
        <v>411</v>
      </c>
      <c r="D673">
        <v>2018</v>
      </c>
      <c r="E673">
        <v>3804.21</v>
      </c>
      <c r="F673" t="str">
        <f>VLOOKUP(B673,'Facility List'!$B$2:$E$156,3,0)</f>
        <v>Region 16</v>
      </c>
    </row>
    <row r="674" spans="1:6" x14ac:dyDescent="0.25">
      <c r="A674" t="s">
        <v>409</v>
      </c>
      <c r="B674" t="s">
        <v>410</v>
      </c>
      <c r="C674" t="s">
        <v>411</v>
      </c>
      <c r="D674">
        <v>2019</v>
      </c>
      <c r="E674">
        <v>3695.01</v>
      </c>
      <c r="F674" t="str">
        <f>VLOOKUP(B674,'Facility List'!$B$2:$E$156,3,0)</f>
        <v>Region 16</v>
      </c>
    </row>
    <row r="675" spans="1:6" x14ac:dyDescent="0.25">
      <c r="A675" t="s">
        <v>409</v>
      </c>
      <c r="B675" t="s">
        <v>410</v>
      </c>
      <c r="C675" t="s">
        <v>411</v>
      </c>
      <c r="D675">
        <v>2020</v>
      </c>
      <c r="E675">
        <v>3987.35</v>
      </c>
      <c r="F675" t="str">
        <f>VLOOKUP(B675,'Facility List'!$B$2:$E$156,3,0)</f>
        <v>Region 16</v>
      </c>
    </row>
    <row r="676" spans="1:6" x14ac:dyDescent="0.25">
      <c r="A676" t="s">
        <v>409</v>
      </c>
      <c r="B676" t="s">
        <v>410</v>
      </c>
      <c r="C676" t="s">
        <v>411</v>
      </c>
      <c r="D676">
        <v>2021</v>
      </c>
      <c r="E676">
        <v>4427.1499999999996</v>
      </c>
      <c r="F676" t="str">
        <f>VLOOKUP(B676,'Facility List'!$B$2:$E$156,3,0)</f>
        <v>Region 16</v>
      </c>
    </row>
    <row r="677" spans="1:6" x14ac:dyDescent="0.25">
      <c r="A677" t="s">
        <v>412</v>
      </c>
      <c r="B677" t="s">
        <v>413</v>
      </c>
      <c r="C677" t="s">
        <v>414</v>
      </c>
      <c r="D677">
        <v>2017</v>
      </c>
      <c r="E677">
        <v>277042</v>
      </c>
      <c r="F677" t="str">
        <f>VLOOKUP(B677,'Facility List'!$B$2:$E$156,3,0)</f>
        <v>Region 16</v>
      </c>
    </row>
    <row r="678" spans="1:6" x14ac:dyDescent="0.25">
      <c r="A678" t="s">
        <v>412</v>
      </c>
      <c r="B678" t="s">
        <v>413</v>
      </c>
      <c r="C678" t="s">
        <v>414</v>
      </c>
      <c r="D678">
        <v>2018</v>
      </c>
      <c r="E678">
        <v>271212</v>
      </c>
      <c r="F678" t="str">
        <f>VLOOKUP(B678,'Facility List'!$B$2:$E$156,3,0)</f>
        <v>Region 16</v>
      </c>
    </row>
    <row r="679" spans="1:6" x14ac:dyDescent="0.25">
      <c r="A679" t="s">
        <v>412</v>
      </c>
      <c r="B679" t="s">
        <v>413</v>
      </c>
      <c r="C679" t="s">
        <v>414</v>
      </c>
      <c r="D679">
        <v>2019</v>
      </c>
      <c r="E679">
        <v>279362.32</v>
      </c>
      <c r="F679" t="str">
        <f>VLOOKUP(B679,'Facility List'!$B$2:$E$156,3,0)</f>
        <v>Region 16</v>
      </c>
    </row>
    <row r="680" spans="1:6" x14ac:dyDescent="0.25">
      <c r="A680" t="s">
        <v>412</v>
      </c>
      <c r="B680" t="s">
        <v>413</v>
      </c>
      <c r="C680" t="s">
        <v>414</v>
      </c>
      <c r="D680">
        <v>2020</v>
      </c>
      <c r="E680">
        <v>289801.14</v>
      </c>
      <c r="F680" t="str">
        <f>VLOOKUP(B680,'Facility List'!$B$2:$E$156,3,0)</f>
        <v>Region 16</v>
      </c>
    </row>
    <row r="681" spans="1:6" x14ac:dyDescent="0.25">
      <c r="A681" t="s">
        <v>412</v>
      </c>
      <c r="B681" t="s">
        <v>413</v>
      </c>
      <c r="C681" t="s">
        <v>414</v>
      </c>
      <c r="D681">
        <v>2021</v>
      </c>
      <c r="E681">
        <v>316869.40999999997</v>
      </c>
      <c r="F681" t="str">
        <f>VLOOKUP(B681,'Facility List'!$B$2:$E$156,3,0)</f>
        <v>Region 16</v>
      </c>
    </row>
    <row r="682" spans="1:6" x14ac:dyDescent="0.25">
      <c r="A682" t="s">
        <v>415</v>
      </c>
      <c r="B682" t="s">
        <v>416</v>
      </c>
      <c r="C682" t="s">
        <v>417</v>
      </c>
      <c r="D682">
        <v>2017</v>
      </c>
      <c r="E682">
        <v>37891.29</v>
      </c>
      <c r="F682" t="str">
        <f>VLOOKUP(B682,'Facility List'!$B$2:$E$156,3,0)</f>
        <v>Region 16</v>
      </c>
    </row>
    <row r="683" spans="1:6" x14ac:dyDescent="0.25">
      <c r="A683" t="s">
        <v>415</v>
      </c>
      <c r="B683" t="s">
        <v>416</v>
      </c>
      <c r="C683" t="s">
        <v>417</v>
      </c>
      <c r="D683">
        <v>2018</v>
      </c>
      <c r="E683">
        <v>33630.339999999997</v>
      </c>
      <c r="F683" t="str">
        <f>VLOOKUP(B683,'Facility List'!$B$2:$E$156,3,0)</f>
        <v>Region 16</v>
      </c>
    </row>
    <row r="684" spans="1:6" x14ac:dyDescent="0.25">
      <c r="A684" t="s">
        <v>415</v>
      </c>
      <c r="B684" t="s">
        <v>416</v>
      </c>
      <c r="C684" t="s">
        <v>417</v>
      </c>
      <c r="D684">
        <v>2019</v>
      </c>
      <c r="E684">
        <v>37593.51</v>
      </c>
      <c r="F684" t="str">
        <f>VLOOKUP(B684,'Facility List'!$B$2:$E$156,3,0)</f>
        <v>Region 16</v>
      </c>
    </row>
    <row r="685" spans="1:6" x14ac:dyDescent="0.25">
      <c r="A685" t="s">
        <v>415</v>
      </c>
      <c r="B685" t="s">
        <v>416</v>
      </c>
      <c r="C685" t="s">
        <v>417</v>
      </c>
      <c r="D685">
        <v>2020</v>
      </c>
      <c r="E685">
        <v>38509.19</v>
      </c>
      <c r="F685" t="str">
        <f>VLOOKUP(B685,'Facility List'!$B$2:$E$156,3,0)</f>
        <v>Region 16</v>
      </c>
    </row>
    <row r="686" spans="1:6" x14ac:dyDescent="0.25">
      <c r="A686" t="s">
        <v>415</v>
      </c>
      <c r="B686" t="s">
        <v>416</v>
      </c>
      <c r="C686" t="s">
        <v>417</v>
      </c>
      <c r="D686">
        <v>2021</v>
      </c>
      <c r="E686">
        <v>43068.91</v>
      </c>
      <c r="F686" t="str">
        <f>VLOOKUP(B686,'Facility List'!$B$2:$E$156,3,0)</f>
        <v>Region 16</v>
      </c>
    </row>
    <row r="687" spans="1:6" x14ac:dyDescent="0.25">
      <c r="A687" t="s">
        <v>418</v>
      </c>
      <c r="B687" s="1" t="s">
        <v>419</v>
      </c>
      <c r="C687" t="s">
        <v>420</v>
      </c>
      <c r="D687">
        <v>2017</v>
      </c>
      <c r="E687">
        <v>4462.88</v>
      </c>
      <c r="F687" t="str">
        <f>VLOOKUP(B687,'Facility List'!$B$2:$E$156,3,0)</f>
        <v>Region 16</v>
      </c>
    </row>
    <row r="688" spans="1:6" x14ac:dyDescent="0.25">
      <c r="A688" t="s">
        <v>418</v>
      </c>
      <c r="B688" s="1" t="s">
        <v>419</v>
      </c>
      <c r="C688" t="s">
        <v>420</v>
      </c>
      <c r="D688">
        <v>2018</v>
      </c>
      <c r="E688">
        <v>4738.2700000000004</v>
      </c>
      <c r="F688" t="str">
        <f>VLOOKUP(B688,'Facility List'!$B$2:$E$156,3,0)</f>
        <v>Region 16</v>
      </c>
    </row>
    <row r="689" spans="1:6" x14ac:dyDescent="0.25">
      <c r="A689" t="s">
        <v>418</v>
      </c>
      <c r="B689" s="1" t="s">
        <v>419</v>
      </c>
      <c r="C689" t="s">
        <v>420</v>
      </c>
      <c r="D689">
        <v>2019</v>
      </c>
      <c r="E689">
        <v>4114.75</v>
      </c>
      <c r="F689" t="str">
        <f>VLOOKUP(B689,'Facility List'!$B$2:$E$156,3,0)</f>
        <v>Region 16</v>
      </c>
    </row>
    <row r="690" spans="1:6" x14ac:dyDescent="0.25">
      <c r="A690" t="s">
        <v>418</v>
      </c>
      <c r="B690" s="1" t="s">
        <v>419</v>
      </c>
      <c r="C690" t="s">
        <v>420</v>
      </c>
      <c r="D690">
        <v>2020</v>
      </c>
      <c r="E690">
        <v>3833.39</v>
      </c>
      <c r="F690" t="str">
        <f>VLOOKUP(B690,'Facility List'!$B$2:$E$156,3,0)</f>
        <v>Region 16</v>
      </c>
    </row>
    <row r="691" spans="1:6" x14ac:dyDescent="0.25">
      <c r="A691" t="s">
        <v>418</v>
      </c>
      <c r="B691" s="1" t="s">
        <v>419</v>
      </c>
      <c r="C691" t="s">
        <v>420</v>
      </c>
      <c r="D691">
        <v>2021</v>
      </c>
      <c r="E691">
        <v>4153.26</v>
      </c>
      <c r="F691" t="str">
        <f>VLOOKUP(B691,'Facility List'!$B$2:$E$156,3,0)</f>
        <v>Region 16</v>
      </c>
    </row>
    <row r="692" spans="1:6" x14ac:dyDescent="0.25">
      <c r="A692" t="s">
        <v>421</v>
      </c>
      <c r="B692" t="s">
        <v>422</v>
      </c>
      <c r="C692" t="s">
        <v>423</v>
      </c>
      <c r="D692">
        <v>2017</v>
      </c>
      <c r="E692">
        <v>29982.66</v>
      </c>
      <c r="F692" t="str">
        <f>VLOOKUP(B692,'Facility List'!$B$2:$E$156,3,0)</f>
        <v>Region 16</v>
      </c>
    </row>
    <row r="693" spans="1:6" x14ac:dyDescent="0.25">
      <c r="A693" t="s">
        <v>421</v>
      </c>
      <c r="B693" t="s">
        <v>422</v>
      </c>
      <c r="C693" t="s">
        <v>423</v>
      </c>
      <c r="D693">
        <v>2018</v>
      </c>
      <c r="E693">
        <v>23793.05</v>
      </c>
      <c r="F693" t="str">
        <f>VLOOKUP(B693,'Facility List'!$B$2:$E$156,3,0)</f>
        <v>Region 16</v>
      </c>
    </row>
    <row r="694" spans="1:6" x14ac:dyDescent="0.25">
      <c r="A694" t="s">
        <v>421</v>
      </c>
      <c r="B694" t="s">
        <v>422</v>
      </c>
      <c r="C694" t="s">
        <v>423</v>
      </c>
      <c r="D694">
        <v>2019</v>
      </c>
      <c r="E694">
        <v>28034.65</v>
      </c>
      <c r="F694" t="str">
        <f>VLOOKUP(B694,'Facility List'!$B$2:$E$156,3,0)</f>
        <v>Region 16</v>
      </c>
    </row>
    <row r="695" spans="1:6" x14ac:dyDescent="0.25">
      <c r="A695" t="s">
        <v>421</v>
      </c>
      <c r="B695" t="s">
        <v>422</v>
      </c>
      <c r="C695" t="s">
        <v>423</v>
      </c>
      <c r="D695">
        <v>2020</v>
      </c>
      <c r="E695">
        <v>15103.34</v>
      </c>
      <c r="F695" t="str">
        <f>VLOOKUP(B695,'Facility List'!$B$2:$E$156,3,0)</f>
        <v>Region 16</v>
      </c>
    </row>
    <row r="696" spans="1:6" x14ac:dyDescent="0.25">
      <c r="A696" t="s">
        <v>421</v>
      </c>
      <c r="B696" t="s">
        <v>422</v>
      </c>
      <c r="C696" t="s">
        <v>423</v>
      </c>
      <c r="D696">
        <v>2021</v>
      </c>
      <c r="E696">
        <v>6977.5</v>
      </c>
      <c r="F696" t="str">
        <f>VLOOKUP(B696,'Facility List'!$B$2:$E$156,3,0)</f>
        <v>Region 16</v>
      </c>
    </row>
    <row r="697" spans="1:6" x14ac:dyDescent="0.25">
      <c r="A697" t="s">
        <v>424</v>
      </c>
      <c r="B697" t="s">
        <v>425</v>
      </c>
      <c r="C697" t="s">
        <v>426</v>
      </c>
      <c r="D697">
        <v>2017</v>
      </c>
      <c r="E697">
        <v>3337</v>
      </c>
      <c r="F697" t="str">
        <f>VLOOKUP(B697,'Facility List'!$B$2:$E$156,3,0)</f>
        <v>Region 16</v>
      </c>
    </row>
    <row r="698" spans="1:6" x14ac:dyDescent="0.25">
      <c r="A698" t="s">
        <v>424</v>
      </c>
      <c r="B698" t="s">
        <v>425</v>
      </c>
      <c r="C698" t="s">
        <v>426</v>
      </c>
      <c r="D698">
        <v>2018</v>
      </c>
      <c r="E698">
        <v>3277</v>
      </c>
      <c r="F698" t="str">
        <f>VLOOKUP(B698,'Facility List'!$B$2:$E$156,3,0)</f>
        <v>Region 16</v>
      </c>
    </row>
    <row r="699" spans="1:6" x14ac:dyDescent="0.25">
      <c r="A699" t="s">
        <v>424</v>
      </c>
      <c r="B699" t="s">
        <v>425</v>
      </c>
      <c r="C699" t="s">
        <v>426</v>
      </c>
      <c r="D699">
        <v>2019</v>
      </c>
      <c r="E699">
        <v>3401</v>
      </c>
      <c r="F699" t="str">
        <f>VLOOKUP(B699,'Facility List'!$B$2:$E$156,3,0)</f>
        <v>Region 16</v>
      </c>
    </row>
    <row r="700" spans="1:6" x14ac:dyDescent="0.25">
      <c r="A700" t="s">
        <v>424</v>
      </c>
      <c r="B700" t="s">
        <v>425</v>
      </c>
      <c r="C700" t="s">
        <v>426</v>
      </c>
      <c r="D700">
        <v>2020</v>
      </c>
      <c r="E700">
        <v>3699</v>
      </c>
      <c r="F700" t="str">
        <f>VLOOKUP(B700,'Facility List'!$B$2:$E$156,3,0)</f>
        <v>Region 16</v>
      </c>
    </row>
    <row r="701" spans="1:6" x14ac:dyDescent="0.25">
      <c r="A701" t="s">
        <v>424</v>
      </c>
      <c r="B701" t="s">
        <v>425</v>
      </c>
      <c r="C701" t="s">
        <v>426</v>
      </c>
      <c r="D701">
        <v>2021</v>
      </c>
      <c r="E701">
        <v>3322</v>
      </c>
      <c r="F701" t="str">
        <f>VLOOKUP(B701,'Facility List'!$B$2:$E$156,3,0)</f>
        <v>Region 16</v>
      </c>
    </row>
    <row r="702" spans="1:6" x14ac:dyDescent="0.25">
      <c r="A702" t="s">
        <v>427</v>
      </c>
      <c r="B702" t="s">
        <v>428</v>
      </c>
      <c r="C702" t="s">
        <v>429</v>
      </c>
      <c r="D702">
        <v>2017</v>
      </c>
      <c r="E702">
        <v>46335.01</v>
      </c>
      <c r="F702" t="str">
        <f>VLOOKUP(B702,'Facility List'!$B$2:$E$156,3,0)</f>
        <v>Region 16</v>
      </c>
    </row>
    <row r="703" spans="1:6" x14ac:dyDescent="0.25">
      <c r="A703" t="s">
        <v>427</v>
      </c>
      <c r="B703" t="s">
        <v>428</v>
      </c>
      <c r="C703" t="s">
        <v>429</v>
      </c>
      <c r="D703">
        <v>2018</v>
      </c>
      <c r="E703">
        <v>48954.38</v>
      </c>
      <c r="F703" t="str">
        <f>VLOOKUP(B703,'Facility List'!$B$2:$E$156,3,0)</f>
        <v>Region 16</v>
      </c>
    </row>
    <row r="704" spans="1:6" x14ac:dyDescent="0.25">
      <c r="A704" t="s">
        <v>427</v>
      </c>
      <c r="B704" t="s">
        <v>428</v>
      </c>
      <c r="C704" t="s">
        <v>429</v>
      </c>
      <c r="D704">
        <v>2019</v>
      </c>
      <c r="E704">
        <v>56295.69</v>
      </c>
      <c r="F704" t="str">
        <f>VLOOKUP(B704,'Facility List'!$B$2:$E$156,3,0)</f>
        <v>Region 16</v>
      </c>
    </row>
    <row r="705" spans="1:6" x14ac:dyDescent="0.25">
      <c r="A705" t="s">
        <v>427</v>
      </c>
      <c r="B705" t="s">
        <v>428</v>
      </c>
      <c r="C705" t="s">
        <v>429</v>
      </c>
      <c r="D705">
        <v>2020</v>
      </c>
      <c r="E705">
        <v>55359.839999999997</v>
      </c>
      <c r="F705" t="str">
        <f>VLOOKUP(B705,'Facility List'!$B$2:$E$156,3,0)</f>
        <v>Region 16</v>
      </c>
    </row>
    <row r="706" spans="1:6" x14ac:dyDescent="0.25">
      <c r="A706" t="s">
        <v>427</v>
      </c>
      <c r="B706" t="s">
        <v>428</v>
      </c>
      <c r="C706" t="s">
        <v>429</v>
      </c>
      <c r="D706">
        <v>2021</v>
      </c>
      <c r="E706">
        <v>58431.199999999997</v>
      </c>
      <c r="F706" t="str">
        <f>VLOOKUP(B706,'Facility List'!$B$2:$E$156,3,0)</f>
        <v>Region 16</v>
      </c>
    </row>
    <row r="707" spans="1:6" x14ac:dyDescent="0.25">
      <c r="A707" t="s">
        <v>430</v>
      </c>
      <c r="B707" t="s">
        <v>431</v>
      </c>
      <c r="C707" t="s">
        <v>432</v>
      </c>
      <c r="D707">
        <v>2017</v>
      </c>
      <c r="E707">
        <v>393.6</v>
      </c>
      <c r="F707" t="str">
        <f>VLOOKUP(B707,'Facility List'!$B$2:$E$156,3,0)</f>
        <v>Region 16</v>
      </c>
    </row>
    <row r="708" spans="1:6" x14ac:dyDescent="0.25">
      <c r="A708" t="s">
        <v>430</v>
      </c>
      <c r="B708" t="s">
        <v>431</v>
      </c>
      <c r="C708" t="s">
        <v>432</v>
      </c>
      <c r="D708">
        <v>2018</v>
      </c>
      <c r="E708">
        <v>301.10000000000002</v>
      </c>
      <c r="F708" t="str">
        <f>VLOOKUP(B708,'Facility List'!$B$2:$E$156,3,0)</f>
        <v>Region 16</v>
      </c>
    </row>
    <row r="709" spans="1:6" x14ac:dyDescent="0.25">
      <c r="A709" t="s">
        <v>430</v>
      </c>
      <c r="B709" t="s">
        <v>431</v>
      </c>
      <c r="C709" t="s">
        <v>432</v>
      </c>
      <c r="D709">
        <v>2019</v>
      </c>
      <c r="E709">
        <v>78.400000000000006</v>
      </c>
      <c r="F709" t="str">
        <f>VLOOKUP(B709,'Facility List'!$B$2:$E$156,3,0)</f>
        <v>Region 16</v>
      </c>
    </row>
    <row r="710" spans="1:6" x14ac:dyDescent="0.25">
      <c r="A710" t="s">
        <v>430</v>
      </c>
      <c r="B710" t="s">
        <v>431</v>
      </c>
      <c r="C710" t="s">
        <v>432</v>
      </c>
      <c r="D710">
        <v>2020</v>
      </c>
      <c r="E710">
        <v>113.4</v>
      </c>
      <c r="F710" t="str">
        <f>VLOOKUP(B710,'Facility List'!$B$2:$E$156,3,0)</f>
        <v>Region 16</v>
      </c>
    </row>
    <row r="711" spans="1:6" x14ac:dyDescent="0.25">
      <c r="A711" t="s">
        <v>430</v>
      </c>
      <c r="B711" t="s">
        <v>431</v>
      </c>
      <c r="C711" t="s">
        <v>432</v>
      </c>
      <c r="D711">
        <v>2021</v>
      </c>
      <c r="E711">
        <v>66</v>
      </c>
      <c r="F711" t="str">
        <f>VLOOKUP(B711,'Facility List'!$B$2:$E$156,3,0)</f>
        <v>Region 16</v>
      </c>
    </row>
    <row r="712" spans="1:6" x14ac:dyDescent="0.25">
      <c r="A712" t="s">
        <v>433</v>
      </c>
      <c r="B712" t="s">
        <v>434</v>
      </c>
      <c r="C712" t="s">
        <v>435</v>
      </c>
      <c r="D712">
        <v>2017</v>
      </c>
      <c r="E712">
        <v>2160.5</v>
      </c>
      <c r="F712" t="str">
        <f>VLOOKUP(B712,'Facility List'!$B$2:$E$156,3,0)</f>
        <v>Region 16</v>
      </c>
    </row>
    <row r="713" spans="1:6" x14ac:dyDescent="0.25">
      <c r="A713" t="s">
        <v>433</v>
      </c>
      <c r="B713" t="s">
        <v>434</v>
      </c>
      <c r="C713" t="s">
        <v>435</v>
      </c>
      <c r="D713">
        <v>2018</v>
      </c>
      <c r="E713">
        <v>2097</v>
      </c>
      <c r="F713" t="str">
        <f>VLOOKUP(B713,'Facility List'!$B$2:$E$156,3,0)</f>
        <v>Region 16</v>
      </c>
    </row>
    <row r="714" spans="1:6" x14ac:dyDescent="0.25">
      <c r="A714" t="s">
        <v>433</v>
      </c>
      <c r="B714" t="s">
        <v>434</v>
      </c>
      <c r="C714" t="s">
        <v>435</v>
      </c>
      <c r="D714">
        <v>2019</v>
      </c>
      <c r="E714">
        <v>1919.5</v>
      </c>
      <c r="F714" t="str">
        <f>VLOOKUP(B714,'Facility List'!$B$2:$E$156,3,0)</f>
        <v>Region 16</v>
      </c>
    </row>
    <row r="715" spans="1:6" x14ac:dyDescent="0.25">
      <c r="A715" t="s">
        <v>433</v>
      </c>
      <c r="B715" t="s">
        <v>434</v>
      </c>
      <c r="C715" t="s">
        <v>435</v>
      </c>
      <c r="D715">
        <v>2020</v>
      </c>
      <c r="E715">
        <v>1783</v>
      </c>
      <c r="F715" t="str">
        <f>VLOOKUP(B715,'Facility List'!$B$2:$E$156,3,0)</f>
        <v>Region 16</v>
      </c>
    </row>
    <row r="716" spans="1:6" x14ac:dyDescent="0.25">
      <c r="A716" t="s">
        <v>433</v>
      </c>
      <c r="B716" t="s">
        <v>434</v>
      </c>
      <c r="C716" t="s">
        <v>435</v>
      </c>
      <c r="D716">
        <v>2021</v>
      </c>
      <c r="E716">
        <v>2540</v>
      </c>
      <c r="F716" t="str">
        <f>VLOOKUP(B716,'Facility List'!$B$2:$E$156,3,0)</f>
        <v>Region 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5359-AB76-4764-BCDF-ECD081F70E57}">
  <dimension ref="A1:P81"/>
  <sheetViews>
    <sheetView workbookViewId="0">
      <selection activeCell="B18" sqref="B18"/>
    </sheetView>
  </sheetViews>
  <sheetFormatPr defaultColWidth="8.85546875" defaultRowHeight="15" x14ac:dyDescent="0.25"/>
  <cols>
    <col min="1" max="1" width="10" customWidth="1"/>
    <col min="2" max="8" width="13" customWidth="1"/>
  </cols>
  <sheetData>
    <row r="1" spans="1:16" x14ac:dyDescent="0.25">
      <c r="A1" t="s">
        <v>618</v>
      </c>
      <c r="B1" t="s">
        <v>1368</v>
      </c>
      <c r="C1" t="s">
        <v>1369</v>
      </c>
      <c r="D1" t="s">
        <v>1370</v>
      </c>
      <c r="E1" t="s">
        <v>1371</v>
      </c>
      <c r="F1" t="s">
        <v>1372</v>
      </c>
      <c r="G1" t="s">
        <v>1373</v>
      </c>
      <c r="H1" t="s">
        <v>1374</v>
      </c>
      <c r="I1" t="s">
        <v>1379</v>
      </c>
      <c r="O1">
        <v>0.33</v>
      </c>
      <c r="P1">
        <v>0.66</v>
      </c>
    </row>
    <row r="2" spans="1:16" x14ac:dyDescent="0.25">
      <c r="A2" t="s">
        <v>636</v>
      </c>
      <c r="B2">
        <v>2017</v>
      </c>
      <c r="C2" t="str">
        <f>A2&amp;"_"&amp;B2</f>
        <v>Region 1_2017</v>
      </c>
      <c r="D2">
        <v>21482280.646183088</v>
      </c>
      <c r="E2">
        <v>436906</v>
      </c>
      <c r="F2">
        <v>25753.140000000003</v>
      </c>
      <c r="G2">
        <v>49169.113370343024</v>
      </c>
      <c r="H2">
        <v>16.965154540378375</v>
      </c>
      <c r="I2" t="str">
        <f>IF(H2&lt;=$O$3,"Low Den",IF(AND(H2&gt;$O$3,H2&lt;=$P$3),"Mid Den","High Den"))</f>
        <v>Low Den</v>
      </c>
      <c r="O2" t="s">
        <v>1377</v>
      </c>
      <c r="P2" t="s">
        <v>1378</v>
      </c>
    </row>
    <row r="3" spans="1:16" x14ac:dyDescent="0.25">
      <c r="A3" t="s">
        <v>636</v>
      </c>
      <c r="B3">
        <v>2018</v>
      </c>
      <c r="C3" t="str">
        <f t="shared" ref="C3:C66" si="0">A3&amp;"_"&amp;B3</f>
        <v>Region 1_2018</v>
      </c>
      <c r="D3">
        <v>21162455.294105519</v>
      </c>
      <c r="E3">
        <v>435167</v>
      </c>
      <c r="F3">
        <v>25753.140000000003</v>
      </c>
      <c r="G3">
        <v>48630.652816287809</v>
      </c>
      <c r="H3">
        <v>16.897628794003371</v>
      </c>
      <c r="I3" t="str">
        <f t="shared" ref="I3:I66" si="1">IF(H3&lt;=$O$3,"Low Den",IF(AND(H3&gt;$O$3,H3&lt;=$P$3),"Mid Den","High Den"))</f>
        <v>Low Den</v>
      </c>
      <c r="O3">
        <f>_xlfn.PERCENTILE.EXC($H$2:$H$81,O1)</f>
        <v>31.518635363277404</v>
      </c>
      <c r="P3">
        <f>_xlfn.PERCENTILE.EXC($H$2:$H$81,P1)</f>
        <v>74.574034053231571</v>
      </c>
    </row>
    <row r="4" spans="1:16" x14ac:dyDescent="0.25">
      <c r="A4" t="s">
        <v>636</v>
      </c>
      <c r="B4">
        <v>2019</v>
      </c>
      <c r="C4" t="str">
        <f t="shared" si="0"/>
        <v>Region 1_2019</v>
      </c>
      <c r="D4">
        <v>22129084.540549293</v>
      </c>
      <c r="E4">
        <v>434349</v>
      </c>
      <c r="F4">
        <v>25753.140000000003</v>
      </c>
      <c r="G4">
        <v>50947.704589050038</v>
      </c>
      <c r="H4">
        <v>16.865865676962109</v>
      </c>
      <c r="I4" t="str">
        <f t="shared" si="1"/>
        <v>Low Den</v>
      </c>
    </row>
    <row r="5" spans="1:16" x14ac:dyDescent="0.25">
      <c r="A5" t="s">
        <v>636</v>
      </c>
      <c r="B5">
        <v>2020</v>
      </c>
      <c r="C5" t="str">
        <f t="shared" si="0"/>
        <v>Region 1_2020</v>
      </c>
      <c r="D5">
        <v>23268254</v>
      </c>
      <c r="E5">
        <v>433919</v>
      </c>
      <c r="F5">
        <v>25753.140000000003</v>
      </c>
      <c r="G5">
        <v>53623.496551199649</v>
      </c>
      <c r="H5">
        <v>16.849168683896409</v>
      </c>
      <c r="I5" t="str">
        <f t="shared" si="1"/>
        <v>Low Den</v>
      </c>
    </row>
    <row r="6" spans="1:16" x14ac:dyDescent="0.25">
      <c r="A6" t="s">
        <v>636</v>
      </c>
      <c r="B6">
        <v>2021</v>
      </c>
      <c r="C6" t="str">
        <f t="shared" si="0"/>
        <v>Region 1_2021</v>
      </c>
      <c r="D6">
        <v>24078820.034766667</v>
      </c>
      <c r="E6">
        <v>433971</v>
      </c>
      <c r="F6">
        <v>25753.140000000003</v>
      </c>
      <c r="G6">
        <v>55484.859667504665</v>
      </c>
      <c r="H6">
        <v>16.851187855150865</v>
      </c>
      <c r="I6" t="str">
        <f t="shared" si="1"/>
        <v>Low Den</v>
      </c>
    </row>
    <row r="7" spans="1:16" x14ac:dyDescent="0.25">
      <c r="A7" t="s">
        <v>627</v>
      </c>
      <c r="B7">
        <v>2017</v>
      </c>
      <c r="C7" t="str">
        <f t="shared" si="0"/>
        <v>Region 10_2017</v>
      </c>
      <c r="D7">
        <v>32988741.421180446</v>
      </c>
      <c r="E7">
        <v>774777</v>
      </c>
      <c r="F7">
        <v>12010.37</v>
      </c>
      <c r="G7">
        <v>42578.369545276182</v>
      </c>
      <c r="H7">
        <v>64.509003469501764</v>
      </c>
      <c r="I7" t="str">
        <f t="shared" si="1"/>
        <v>Mid Den</v>
      </c>
    </row>
    <row r="8" spans="1:16" x14ac:dyDescent="0.25">
      <c r="A8" t="s">
        <v>627</v>
      </c>
      <c r="B8">
        <v>2018</v>
      </c>
      <c r="C8" t="str">
        <f t="shared" si="0"/>
        <v>Region 10_2018</v>
      </c>
      <c r="D8">
        <v>33069308.308339261</v>
      </c>
      <c r="E8">
        <v>769638</v>
      </c>
      <c r="F8">
        <v>12010.37</v>
      </c>
      <c r="G8">
        <v>42967.35388369501</v>
      </c>
      <c r="H8">
        <v>64.081123229342637</v>
      </c>
      <c r="I8" t="str">
        <f t="shared" si="1"/>
        <v>Mid Den</v>
      </c>
    </row>
    <row r="9" spans="1:16" x14ac:dyDescent="0.25">
      <c r="A9" t="s">
        <v>627</v>
      </c>
      <c r="B9">
        <v>2019</v>
      </c>
      <c r="C9" t="str">
        <f t="shared" si="0"/>
        <v>Region 10_2019</v>
      </c>
      <c r="D9">
        <v>33530789.321833141</v>
      </c>
      <c r="E9">
        <v>768468</v>
      </c>
      <c r="F9">
        <v>12010.37</v>
      </c>
      <c r="G9">
        <v>43633.292891614408</v>
      </c>
      <c r="H9">
        <v>63.983707412844062</v>
      </c>
      <c r="I9" t="str">
        <f t="shared" si="1"/>
        <v>Mid Den</v>
      </c>
    </row>
    <row r="10" spans="1:16" x14ac:dyDescent="0.25">
      <c r="A10" t="s">
        <v>627</v>
      </c>
      <c r="B10">
        <v>2020</v>
      </c>
      <c r="C10" t="str">
        <f t="shared" si="0"/>
        <v>Region 10_2020</v>
      </c>
      <c r="D10">
        <v>34809076</v>
      </c>
      <c r="E10">
        <v>768192</v>
      </c>
      <c r="F10">
        <v>12010.37</v>
      </c>
      <c r="G10">
        <v>45312.989460968092</v>
      </c>
      <c r="H10">
        <v>63.960727271516191</v>
      </c>
      <c r="I10" t="str">
        <f t="shared" si="1"/>
        <v>Mid Den</v>
      </c>
    </row>
    <row r="11" spans="1:16" x14ac:dyDescent="0.25">
      <c r="A11" t="s">
        <v>627</v>
      </c>
      <c r="B11">
        <v>2021</v>
      </c>
      <c r="C11" t="str">
        <f t="shared" si="0"/>
        <v>Region 10_2021</v>
      </c>
      <c r="D11">
        <v>35378566.925824754</v>
      </c>
      <c r="E11">
        <v>769631</v>
      </c>
      <c r="F11">
        <v>12010.37</v>
      </c>
      <c r="G11">
        <v>45968.219738842061</v>
      </c>
      <c r="H11">
        <v>64.080540399671278</v>
      </c>
      <c r="I11" t="str">
        <f t="shared" si="1"/>
        <v>Mid Den</v>
      </c>
    </row>
    <row r="12" spans="1:16" x14ac:dyDescent="0.25">
      <c r="A12" t="s">
        <v>649</v>
      </c>
      <c r="B12">
        <v>2017</v>
      </c>
      <c r="C12" t="str">
        <f t="shared" si="0"/>
        <v>Region 11_2017</v>
      </c>
      <c r="D12">
        <v>133948366.59275685</v>
      </c>
      <c r="E12">
        <v>2238129</v>
      </c>
      <c r="F12">
        <v>8436.4599999999991</v>
      </c>
      <c r="G12">
        <v>59848.367360753939</v>
      </c>
      <c r="H12">
        <v>265.29243308212216</v>
      </c>
      <c r="I12" t="str">
        <f t="shared" si="1"/>
        <v>High Den</v>
      </c>
    </row>
    <row r="13" spans="1:16" x14ac:dyDescent="0.25">
      <c r="A13" t="s">
        <v>649</v>
      </c>
      <c r="B13">
        <v>2018</v>
      </c>
      <c r="C13" t="str">
        <f t="shared" si="0"/>
        <v>Region 11_2018</v>
      </c>
      <c r="D13">
        <v>142021036.24913681</v>
      </c>
      <c r="E13">
        <v>2290679</v>
      </c>
      <c r="F13">
        <v>8436.4599999999991</v>
      </c>
      <c r="G13">
        <v>61999.536490768376</v>
      </c>
      <c r="H13">
        <v>271.52134900183256</v>
      </c>
      <c r="I13" t="str">
        <f t="shared" si="1"/>
        <v>High Den</v>
      </c>
    </row>
    <row r="14" spans="1:16" x14ac:dyDescent="0.25">
      <c r="A14" t="s">
        <v>649</v>
      </c>
      <c r="B14">
        <v>2019</v>
      </c>
      <c r="C14" t="str">
        <f t="shared" si="0"/>
        <v>Region 11_2019</v>
      </c>
      <c r="D14">
        <v>150260321.31685242</v>
      </c>
      <c r="E14">
        <v>2353618</v>
      </c>
      <c r="F14">
        <v>8436.4599999999991</v>
      </c>
      <c r="G14">
        <v>63842.272330026542</v>
      </c>
      <c r="H14">
        <v>278.98170559689731</v>
      </c>
      <c r="I14" t="str">
        <f t="shared" si="1"/>
        <v>High Den</v>
      </c>
    </row>
    <row r="15" spans="1:16" x14ac:dyDescent="0.25">
      <c r="A15" t="s">
        <v>649</v>
      </c>
      <c r="B15">
        <v>2020</v>
      </c>
      <c r="C15" t="str">
        <f t="shared" si="0"/>
        <v>Region 11_2020</v>
      </c>
      <c r="D15">
        <v>156413779</v>
      </c>
      <c r="E15">
        <v>2423206</v>
      </c>
      <c r="F15">
        <v>8436.4599999999991</v>
      </c>
      <c r="G15">
        <v>64548.279840838957</v>
      </c>
      <c r="H15">
        <v>287.230188965514</v>
      </c>
      <c r="I15" t="str">
        <f t="shared" si="1"/>
        <v>High Den</v>
      </c>
    </row>
    <row r="16" spans="1:16" x14ac:dyDescent="0.25">
      <c r="A16" t="s">
        <v>649</v>
      </c>
      <c r="B16">
        <v>2021</v>
      </c>
      <c r="C16" t="str">
        <f t="shared" si="0"/>
        <v>Region 11_2021</v>
      </c>
      <c r="D16">
        <v>167754908.4032169</v>
      </c>
      <c r="E16">
        <v>2479637</v>
      </c>
      <c r="F16">
        <v>8436.4599999999991</v>
      </c>
      <c r="G16">
        <v>67653.010663745095</v>
      </c>
      <c r="H16">
        <v>293.91913195819103</v>
      </c>
      <c r="I16" t="str">
        <f t="shared" si="1"/>
        <v>High Den</v>
      </c>
    </row>
    <row r="17" spans="1:9" x14ac:dyDescent="0.25">
      <c r="A17" t="s">
        <v>642</v>
      </c>
      <c r="B17">
        <v>2017</v>
      </c>
      <c r="C17" t="str">
        <f t="shared" si="0"/>
        <v>Region 12_2017</v>
      </c>
      <c r="D17">
        <v>405797492.34505337</v>
      </c>
      <c r="E17">
        <v>7062795</v>
      </c>
      <c r="F17">
        <v>12189.130000000001</v>
      </c>
      <c r="G17">
        <v>57455.652095955404</v>
      </c>
      <c r="H17">
        <v>579.43388904704432</v>
      </c>
      <c r="I17" t="str">
        <f t="shared" si="1"/>
        <v>High Den</v>
      </c>
    </row>
    <row r="18" spans="1:9" x14ac:dyDescent="0.25">
      <c r="A18" t="s">
        <v>642</v>
      </c>
      <c r="B18">
        <v>2018</v>
      </c>
      <c r="C18" t="str">
        <f t="shared" si="0"/>
        <v>Region 12_2018</v>
      </c>
      <c r="D18">
        <v>422812604.22786355</v>
      </c>
      <c r="E18">
        <v>7136903</v>
      </c>
      <c r="F18">
        <v>12189.130000000001</v>
      </c>
      <c r="G18">
        <v>59243.148495623878</v>
      </c>
      <c r="H18">
        <v>585.51373231723676</v>
      </c>
      <c r="I18" t="str">
        <f t="shared" si="1"/>
        <v>High Den</v>
      </c>
    </row>
    <row r="19" spans="1:9" x14ac:dyDescent="0.25">
      <c r="A19" t="s">
        <v>642</v>
      </c>
      <c r="B19">
        <v>2019</v>
      </c>
      <c r="C19" t="str">
        <f t="shared" si="0"/>
        <v>Region 12_2019</v>
      </c>
      <c r="D19">
        <v>436389112.27867705</v>
      </c>
      <c r="E19">
        <v>7222524</v>
      </c>
      <c r="F19">
        <v>12189.130000000001</v>
      </c>
      <c r="G19">
        <v>60420.58320314021</v>
      </c>
      <c r="H19">
        <v>592.5381056728412</v>
      </c>
      <c r="I19" t="str">
        <f t="shared" si="1"/>
        <v>High Den</v>
      </c>
    </row>
    <row r="20" spans="1:9" x14ac:dyDescent="0.25">
      <c r="A20" t="s">
        <v>642</v>
      </c>
      <c r="B20">
        <v>2020</v>
      </c>
      <c r="C20" t="str">
        <f t="shared" si="0"/>
        <v>Region 12_2020</v>
      </c>
      <c r="D20">
        <v>443626329</v>
      </c>
      <c r="E20">
        <v>7312675</v>
      </c>
      <c r="F20">
        <v>12189.130000000001</v>
      </c>
      <c r="G20">
        <v>60665.396588799587</v>
      </c>
      <c r="H20">
        <v>599.93412163132223</v>
      </c>
      <c r="I20" t="str">
        <f t="shared" si="1"/>
        <v>High Den</v>
      </c>
    </row>
    <row r="21" spans="1:9" x14ac:dyDescent="0.25">
      <c r="A21" t="s">
        <v>642</v>
      </c>
      <c r="B21">
        <v>2021</v>
      </c>
      <c r="C21" t="str">
        <f t="shared" si="0"/>
        <v>Region 12_2021</v>
      </c>
      <c r="D21">
        <v>453822945.04193014</v>
      </c>
      <c r="E21">
        <v>7383513</v>
      </c>
      <c r="F21">
        <v>12189.130000000001</v>
      </c>
      <c r="G21">
        <v>61464.365951807777</v>
      </c>
      <c r="H21">
        <v>605.74569308884224</v>
      </c>
      <c r="I21" t="str">
        <f t="shared" si="1"/>
        <v>High Den</v>
      </c>
    </row>
    <row r="22" spans="1:9" x14ac:dyDescent="0.25">
      <c r="A22" t="s">
        <v>639</v>
      </c>
      <c r="B22">
        <v>2017</v>
      </c>
      <c r="C22" t="str">
        <f t="shared" si="0"/>
        <v>Region 13_2017</v>
      </c>
      <c r="D22">
        <v>127007695.06915849</v>
      </c>
      <c r="E22">
        <v>2596968</v>
      </c>
      <c r="F22">
        <v>15724.240000000002</v>
      </c>
      <c r="G22">
        <v>48906.145577904113</v>
      </c>
      <c r="H22">
        <v>165.15698055995074</v>
      </c>
      <c r="I22" t="str">
        <f t="shared" si="1"/>
        <v>High Den</v>
      </c>
    </row>
    <row r="23" spans="1:9" x14ac:dyDescent="0.25">
      <c r="A23" t="s">
        <v>639</v>
      </c>
      <c r="B23">
        <v>2018</v>
      </c>
      <c r="C23" t="str">
        <f t="shared" si="0"/>
        <v>Region 13_2018</v>
      </c>
      <c r="D23">
        <v>132144706.92516208</v>
      </c>
      <c r="E23">
        <v>2635506</v>
      </c>
      <c r="F23">
        <v>15724.240000000002</v>
      </c>
      <c r="G23">
        <v>50140.165465440819</v>
      </c>
      <c r="H23">
        <v>167.60784622977008</v>
      </c>
      <c r="I23" t="str">
        <f t="shared" si="1"/>
        <v>High Den</v>
      </c>
    </row>
    <row r="24" spans="1:9" x14ac:dyDescent="0.25">
      <c r="A24" t="s">
        <v>639</v>
      </c>
      <c r="B24">
        <v>2019</v>
      </c>
      <c r="C24" t="str">
        <f t="shared" si="0"/>
        <v>Region 13_2019</v>
      </c>
      <c r="D24">
        <v>132697191.76764761</v>
      </c>
      <c r="E24">
        <v>2669813</v>
      </c>
      <c r="F24">
        <v>15724.240000000002</v>
      </c>
      <c r="G24">
        <v>49702.803817214022</v>
      </c>
      <c r="H24">
        <v>169.7896368918307</v>
      </c>
      <c r="I24" t="str">
        <f t="shared" si="1"/>
        <v>High Den</v>
      </c>
    </row>
    <row r="25" spans="1:9" x14ac:dyDescent="0.25">
      <c r="A25" t="s">
        <v>639</v>
      </c>
      <c r="B25">
        <v>2020</v>
      </c>
      <c r="C25" t="str">
        <f t="shared" si="0"/>
        <v>Region 13_2020</v>
      </c>
      <c r="D25">
        <v>136904935</v>
      </c>
      <c r="E25">
        <v>2707875</v>
      </c>
      <c r="F25">
        <v>15724.240000000002</v>
      </c>
      <c r="G25">
        <v>50558.070442690303</v>
      </c>
      <c r="H25">
        <v>172.21023082832619</v>
      </c>
      <c r="I25" t="str">
        <f t="shared" si="1"/>
        <v>High Den</v>
      </c>
    </row>
    <row r="26" spans="1:9" x14ac:dyDescent="0.25">
      <c r="A26" t="s">
        <v>639</v>
      </c>
      <c r="B26">
        <v>2021</v>
      </c>
      <c r="C26" t="str">
        <f t="shared" si="0"/>
        <v>Region 13_2021</v>
      </c>
      <c r="D26">
        <v>141711220.84471527</v>
      </c>
      <c r="E26">
        <v>2744429</v>
      </c>
      <c r="F26">
        <v>15724.240000000002</v>
      </c>
      <c r="G26">
        <v>51635.958097190807</v>
      </c>
      <c r="H26">
        <v>174.53492187857725</v>
      </c>
      <c r="I26" t="str">
        <f t="shared" si="1"/>
        <v>High Den</v>
      </c>
    </row>
    <row r="27" spans="1:9" x14ac:dyDescent="0.25">
      <c r="A27" t="s">
        <v>630</v>
      </c>
      <c r="B27">
        <v>2017</v>
      </c>
      <c r="C27" t="str">
        <f t="shared" si="0"/>
        <v>Region 14_2017</v>
      </c>
      <c r="D27">
        <v>34662511.878365546</v>
      </c>
      <c r="E27">
        <v>763576</v>
      </c>
      <c r="F27">
        <v>12236.470000000001</v>
      </c>
      <c r="G27">
        <v>45394.972967151334</v>
      </c>
      <c r="H27">
        <v>62.401656686936668</v>
      </c>
      <c r="I27" t="str">
        <f t="shared" si="1"/>
        <v>Mid Den</v>
      </c>
    </row>
    <row r="28" spans="1:9" x14ac:dyDescent="0.25">
      <c r="A28" t="s">
        <v>630</v>
      </c>
      <c r="B28">
        <v>2018</v>
      </c>
      <c r="C28" t="str">
        <f t="shared" si="0"/>
        <v>Region 14_2018</v>
      </c>
      <c r="D28">
        <v>35153645.01200746</v>
      </c>
      <c r="E28">
        <v>759118</v>
      </c>
      <c r="F28">
        <v>12236.470000000001</v>
      </c>
      <c r="G28">
        <v>46308.53834582695</v>
      </c>
      <c r="H28">
        <v>62.037335931032395</v>
      </c>
      <c r="I28" t="str">
        <f t="shared" si="1"/>
        <v>Mid Den</v>
      </c>
    </row>
    <row r="29" spans="1:9" x14ac:dyDescent="0.25">
      <c r="A29" t="s">
        <v>630</v>
      </c>
      <c r="B29">
        <v>2019</v>
      </c>
      <c r="C29" t="str">
        <f t="shared" si="0"/>
        <v>Region 14_2019</v>
      </c>
      <c r="D29">
        <v>36695637.825087816</v>
      </c>
      <c r="E29">
        <v>757823</v>
      </c>
      <c r="F29">
        <v>12236.470000000001</v>
      </c>
      <c r="G29">
        <v>48422.438781995021</v>
      </c>
      <c r="H29">
        <v>61.931504755865042</v>
      </c>
      <c r="I29" t="str">
        <f t="shared" si="1"/>
        <v>Mid Den</v>
      </c>
    </row>
    <row r="30" spans="1:9" x14ac:dyDescent="0.25">
      <c r="A30" t="s">
        <v>630</v>
      </c>
      <c r="B30">
        <v>2020</v>
      </c>
      <c r="C30" t="str">
        <f t="shared" si="0"/>
        <v>Region 14_2020</v>
      </c>
      <c r="D30">
        <v>37502234</v>
      </c>
      <c r="E30">
        <v>757717</v>
      </c>
      <c r="F30">
        <v>12236.470000000001</v>
      </c>
      <c r="G30">
        <v>49493.721270606307</v>
      </c>
      <c r="H30">
        <v>61.922842126855208</v>
      </c>
      <c r="I30" t="str">
        <f t="shared" si="1"/>
        <v>Mid Den</v>
      </c>
    </row>
    <row r="31" spans="1:9" x14ac:dyDescent="0.25">
      <c r="A31" t="s">
        <v>630</v>
      </c>
      <c r="B31">
        <v>2021</v>
      </c>
      <c r="C31" t="str">
        <f t="shared" si="0"/>
        <v>Region 14_2021</v>
      </c>
      <c r="D31">
        <v>38687400.905461431</v>
      </c>
      <c r="E31">
        <v>758905</v>
      </c>
      <c r="F31">
        <v>12236.470000000001</v>
      </c>
      <c r="G31">
        <v>50977.923330932637</v>
      </c>
      <c r="H31">
        <v>62.01992895009753</v>
      </c>
      <c r="I31" t="str">
        <f t="shared" si="1"/>
        <v>Mid Den</v>
      </c>
    </row>
    <row r="32" spans="1:9" x14ac:dyDescent="0.25">
      <c r="A32" t="s">
        <v>667</v>
      </c>
      <c r="B32">
        <v>2017</v>
      </c>
      <c r="C32" t="str">
        <f t="shared" si="0"/>
        <v>Region 15_2017</v>
      </c>
      <c r="D32">
        <v>38592640.692640699</v>
      </c>
      <c r="E32">
        <v>1370356</v>
      </c>
      <c r="F32">
        <v>7813.35</v>
      </c>
      <c r="G32">
        <v>28162.492587795216</v>
      </c>
      <c r="H32">
        <v>175.38648595032859</v>
      </c>
      <c r="I32" t="str">
        <f t="shared" si="1"/>
        <v>High Den</v>
      </c>
    </row>
    <row r="33" spans="1:9" x14ac:dyDescent="0.25">
      <c r="A33" t="s">
        <v>667</v>
      </c>
      <c r="B33">
        <v>2018</v>
      </c>
      <c r="C33" t="str">
        <f t="shared" si="0"/>
        <v>Region 15_2018</v>
      </c>
      <c r="D33">
        <v>39346740.463601418</v>
      </c>
      <c r="E33">
        <v>1375730</v>
      </c>
      <c r="F33">
        <v>7813.35</v>
      </c>
      <c r="G33">
        <v>28600.62691342154</v>
      </c>
      <c r="H33">
        <v>176.07428311799674</v>
      </c>
      <c r="I33" t="str">
        <f t="shared" si="1"/>
        <v>High Den</v>
      </c>
    </row>
    <row r="34" spans="1:9" x14ac:dyDescent="0.25">
      <c r="A34" t="s">
        <v>667</v>
      </c>
      <c r="B34">
        <v>2019</v>
      </c>
      <c r="C34" t="str">
        <f t="shared" si="0"/>
        <v>Region 15_2019</v>
      </c>
      <c r="D34">
        <v>40529685.870764613</v>
      </c>
      <c r="E34">
        <v>1382902</v>
      </c>
      <c r="F34">
        <v>7813.35</v>
      </c>
      <c r="G34">
        <v>29307.706454083233</v>
      </c>
      <c r="H34">
        <v>176.99219924872173</v>
      </c>
      <c r="I34" t="str">
        <f t="shared" si="1"/>
        <v>High Den</v>
      </c>
    </row>
    <row r="35" spans="1:9" x14ac:dyDescent="0.25">
      <c r="A35" t="s">
        <v>667</v>
      </c>
      <c r="B35">
        <v>2020</v>
      </c>
      <c r="C35" t="str">
        <f t="shared" si="0"/>
        <v>Region 15_2020</v>
      </c>
      <c r="D35">
        <v>44901110</v>
      </c>
      <c r="E35">
        <v>1391574</v>
      </c>
      <c r="F35">
        <v>7813.35</v>
      </c>
      <c r="G35">
        <v>32266.419177133233</v>
      </c>
      <c r="H35">
        <v>178.10209449211925</v>
      </c>
      <c r="I35" t="str">
        <f t="shared" si="1"/>
        <v>High Den</v>
      </c>
    </row>
    <row r="36" spans="1:9" x14ac:dyDescent="0.25">
      <c r="A36" t="s">
        <v>667</v>
      </c>
      <c r="B36">
        <v>2021</v>
      </c>
      <c r="C36" t="str">
        <f t="shared" si="0"/>
        <v>Region 15_2021</v>
      </c>
      <c r="D36">
        <v>47751025.807560787</v>
      </c>
      <c r="E36">
        <v>1401885</v>
      </c>
      <c r="F36">
        <v>7813.35</v>
      </c>
      <c r="G36">
        <v>34062.01350864071</v>
      </c>
      <c r="H36">
        <v>179.42175891263031</v>
      </c>
      <c r="I36" t="str">
        <f t="shared" si="1"/>
        <v>High Den</v>
      </c>
    </row>
    <row r="37" spans="1:9" x14ac:dyDescent="0.25">
      <c r="A37" t="s">
        <v>713</v>
      </c>
      <c r="B37">
        <v>2017</v>
      </c>
      <c r="C37" t="str">
        <f t="shared" si="0"/>
        <v>Region 16_2017</v>
      </c>
      <c r="D37">
        <v>14457648.611551052</v>
      </c>
      <c r="E37">
        <v>426500</v>
      </c>
      <c r="F37">
        <v>17189.850000000002</v>
      </c>
      <c r="G37">
        <v>33898.355478431542</v>
      </c>
      <c r="H37">
        <v>24.811153093249793</v>
      </c>
      <c r="I37" t="str">
        <f t="shared" si="1"/>
        <v>Low Den</v>
      </c>
    </row>
    <row r="38" spans="1:9" x14ac:dyDescent="0.25">
      <c r="A38" t="s">
        <v>713</v>
      </c>
      <c r="B38">
        <v>2018</v>
      </c>
      <c r="C38" t="str">
        <f t="shared" si="0"/>
        <v>Region 16_2018</v>
      </c>
      <c r="D38">
        <v>14799034.249610918</v>
      </c>
      <c r="E38">
        <v>425674</v>
      </c>
      <c r="F38">
        <v>17189.850000000002</v>
      </c>
      <c r="G38">
        <v>34766.122078423672</v>
      </c>
      <c r="H38">
        <v>24.763101481397449</v>
      </c>
      <c r="I38" t="str">
        <f t="shared" si="1"/>
        <v>Low Den</v>
      </c>
    </row>
    <row r="39" spans="1:9" x14ac:dyDescent="0.25">
      <c r="A39" t="s">
        <v>713</v>
      </c>
      <c r="B39">
        <v>2019</v>
      </c>
      <c r="C39" t="str">
        <f t="shared" si="0"/>
        <v>Region 16_2019</v>
      </c>
      <c r="D39">
        <v>15386149.158238931</v>
      </c>
      <c r="E39">
        <v>425771</v>
      </c>
      <c r="F39">
        <v>17189.850000000002</v>
      </c>
      <c r="G39">
        <v>36137.14686589488</v>
      </c>
      <c r="H39">
        <v>24.768744346227567</v>
      </c>
      <c r="I39" t="str">
        <f t="shared" si="1"/>
        <v>Low Den</v>
      </c>
    </row>
    <row r="40" spans="1:9" x14ac:dyDescent="0.25">
      <c r="A40" t="s">
        <v>713</v>
      </c>
      <c r="B40">
        <v>2020</v>
      </c>
      <c r="C40" t="str">
        <f t="shared" si="0"/>
        <v>Region 16_2020</v>
      </c>
      <c r="D40">
        <v>16213091</v>
      </c>
      <c r="E40">
        <v>424935</v>
      </c>
      <c r="F40">
        <v>17189.850000000002</v>
      </c>
      <c r="G40">
        <v>38154.284772965279</v>
      </c>
      <c r="H40">
        <v>24.720110995732945</v>
      </c>
      <c r="I40" t="str">
        <f t="shared" si="1"/>
        <v>Low Den</v>
      </c>
    </row>
    <row r="41" spans="1:9" x14ac:dyDescent="0.25">
      <c r="A41" t="s">
        <v>713</v>
      </c>
      <c r="B41">
        <v>2021</v>
      </c>
      <c r="C41" t="str">
        <f t="shared" si="0"/>
        <v>Region 16_2021</v>
      </c>
      <c r="D41">
        <v>17009575.159028828</v>
      </c>
      <c r="E41">
        <v>425644</v>
      </c>
      <c r="F41">
        <v>17189.850000000002</v>
      </c>
      <c r="G41">
        <v>39961.975639334341</v>
      </c>
      <c r="H41">
        <v>24.76135626547061</v>
      </c>
      <c r="I41" t="str">
        <f t="shared" si="1"/>
        <v>Low Den</v>
      </c>
    </row>
    <row r="42" spans="1:9" x14ac:dyDescent="0.25">
      <c r="A42" t="s">
        <v>645</v>
      </c>
      <c r="B42">
        <v>2017</v>
      </c>
      <c r="C42" t="str">
        <f t="shared" si="0"/>
        <v>Region 2_2017</v>
      </c>
      <c r="D42">
        <v>18318387.709851123</v>
      </c>
      <c r="E42">
        <v>428185</v>
      </c>
      <c r="F42">
        <v>13595.120000000003</v>
      </c>
      <c r="G42">
        <v>42781.4792901459</v>
      </c>
      <c r="H42">
        <v>31.495492500250084</v>
      </c>
      <c r="I42" t="str">
        <f t="shared" si="1"/>
        <v>Low Den</v>
      </c>
    </row>
    <row r="43" spans="1:9" x14ac:dyDescent="0.25">
      <c r="A43" t="s">
        <v>645</v>
      </c>
      <c r="B43">
        <v>2018</v>
      </c>
      <c r="C43" t="str">
        <f t="shared" si="0"/>
        <v>Region 2_2018</v>
      </c>
      <c r="D43">
        <v>18700980.17995733</v>
      </c>
      <c r="E43">
        <v>428616</v>
      </c>
      <c r="F43">
        <v>13595.120000000003</v>
      </c>
      <c r="G43">
        <v>43631.082787290557</v>
      </c>
      <c r="H43">
        <v>31.527195052342304</v>
      </c>
      <c r="I43" t="str">
        <f t="shared" si="1"/>
        <v>Mid Den</v>
      </c>
    </row>
    <row r="44" spans="1:9" x14ac:dyDescent="0.25">
      <c r="A44" t="s">
        <v>645</v>
      </c>
      <c r="B44">
        <v>2019</v>
      </c>
      <c r="C44" t="str">
        <f t="shared" si="0"/>
        <v>Region 2_2019</v>
      </c>
      <c r="D44">
        <v>19393199.096992336</v>
      </c>
      <c r="E44">
        <v>430440</v>
      </c>
      <c r="F44">
        <v>13595.120000000003</v>
      </c>
      <c r="G44">
        <v>45054.36087954729</v>
      </c>
      <c r="H44">
        <v>31.661360841243027</v>
      </c>
      <c r="I44" t="str">
        <f t="shared" si="1"/>
        <v>Mid Den</v>
      </c>
    </row>
    <row r="45" spans="1:9" x14ac:dyDescent="0.25">
      <c r="A45" t="s">
        <v>645</v>
      </c>
      <c r="B45">
        <v>2020</v>
      </c>
      <c r="C45" t="str">
        <f t="shared" si="0"/>
        <v>Region 2_2020</v>
      </c>
      <c r="D45">
        <v>20301518</v>
      </c>
      <c r="E45">
        <v>432169</v>
      </c>
      <c r="F45">
        <v>13595.120000000003</v>
      </c>
      <c r="G45">
        <v>46975.87749236988</v>
      </c>
      <c r="H45">
        <v>31.788538828638504</v>
      </c>
      <c r="I45" t="str">
        <f t="shared" si="1"/>
        <v>Mid Den</v>
      </c>
    </row>
    <row r="46" spans="1:9" x14ac:dyDescent="0.25">
      <c r="A46" t="s">
        <v>645</v>
      </c>
      <c r="B46">
        <v>2021</v>
      </c>
      <c r="C46" t="str">
        <f t="shared" si="0"/>
        <v>Region 2_2021</v>
      </c>
      <c r="D46">
        <v>20943969.321285985</v>
      </c>
      <c r="E46">
        <v>434716</v>
      </c>
      <c r="F46">
        <v>13595.120000000003</v>
      </c>
      <c r="G46">
        <v>48178.510386749011</v>
      </c>
      <c r="H46">
        <v>31.975885464784415</v>
      </c>
      <c r="I46" t="str">
        <f t="shared" si="1"/>
        <v>Mid Den</v>
      </c>
    </row>
    <row r="47" spans="1:9" x14ac:dyDescent="0.25">
      <c r="A47" t="s">
        <v>633</v>
      </c>
      <c r="B47">
        <v>2017</v>
      </c>
      <c r="C47" t="str">
        <f t="shared" si="0"/>
        <v>Region 3_2017</v>
      </c>
      <c r="D47">
        <v>24349250.34315278</v>
      </c>
      <c r="E47">
        <v>546083</v>
      </c>
      <c r="F47">
        <v>27302.68</v>
      </c>
      <c r="G47">
        <v>44588.918430262027</v>
      </c>
      <c r="H47">
        <v>20.00107681736738</v>
      </c>
      <c r="I47" t="str">
        <f t="shared" si="1"/>
        <v>Low Den</v>
      </c>
    </row>
    <row r="48" spans="1:9" x14ac:dyDescent="0.25">
      <c r="A48" t="s">
        <v>633</v>
      </c>
      <c r="B48">
        <v>2018</v>
      </c>
      <c r="C48" t="str">
        <f t="shared" si="0"/>
        <v>Region 3_2018</v>
      </c>
      <c r="D48">
        <v>25416072.47765993</v>
      </c>
      <c r="E48">
        <v>546360</v>
      </c>
      <c r="F48">
        <v>27302.68</v>
      </c>
      <c r="G48">
        <v>46518.911482648677</v>
      </c>
      <c r="H48">
        <v>20.011222341543029</v>
      </c>
      <c r="I48" t="str">
        <f t="shared" si="1"/>
        <v>Low Den</v>
      </c>
    </row>
    <row r="49" spans="1:9" x14ac:dyDescent="0.25">
      <c r="A49" t="s">
        <v>633</v>
      </c>
      <c r="B49">
        <v>2019</v>
      </c>
      <c r="C49" t="str">
        <f t="shared" si="0"/>
        <v>Region 3_2019</v>
      </c>
      <c r="D49">
        <v>25666855.974327046</v>
      </c>
      <c r="E49">
        <v>547073</v>
      </c>
      <c r="F49">
        <v>27302.68</v>
      </c>
      <c r="G49">
        <v>46916.69297210253</v>
      </c>
      <c r="H49">
        <v>20.037336994024031</v>
      </c>
      <c r="I49" t="str">
        <f t="shared" si="1"/>
        <v>Low Den</v>
      </c>
    </row>
    <row r="50" spans="1:9" x14ac:dyDescent="0.25">
      <c r="A50" t="s">
        <v>633</v>
      </c>
      <c r="B50">
        <v>2020</v>
      </c>
      <c r="C50" t="str">
        <f t="shared" si="0"/>
        <v>Region 3_2020</v>
      </c>
      <c r="D50">
        <v>26617723</v>
      </c>
      <c r="E50">
        <v>549481</v>
      </c>
      <c r="F50">
        <v>27302.68</v>
      </c>
      <c r="G50">
        <v>48441.571228122535</v>
      </c>
      <c r="H50">
        <v>20.125533464114145</v>
      </c>
      <c r="I50" t="str">
        <f t="shared" si="1"/>
        <v>Low Den</v>
      </c>
    </row>
    <row r="51" spans="1:9" x14ac:dyDescent="0.25">
      <c r="A51" t="s">
        <v>633</v>
      </c>
      <c r="B51">
        <v>2021</v>
      </c>
      <c r="C51" t="str">
        <f t="shared" si="0"/>
        <v>Region 3_2021</v>
      </c>
      <c r="D51">
        <v>27939117.270625994</v>
      </c>
      <c r="E51">
        <v>551960</v>
      </c>
      <c r="F51">
        <v>27302.68</v>
      </c>
      <c r="G51">
        <v>50618.010853369793</v>
      </c>
      <c r="H51">
        <v>20.21633041152004</v>
      </c>
      <c r="I51" t="str">
        <f t="shared" si="1"/>
        <v>Low Den</v>
      </c>
    </row>
    <row r="52" spans="1:9" x14ac:dyDescent="0.25">
      <c r="A52" t="s">
        <v>690</v>
      </c>
      <c r="B52">
        <v>2017</v>
      </c>
      <c r="C52" t="str">
        <f t="shared" si="0"/>
        <v>Region 4_2017</v>
      </c>
      <c r="D52">
        <v>439975310.94921356</v>
      </c>
      <c r="E52">
        <v>7704928</v>
      </c>
      <c r="F52">
        <v>15020.680000000002</v>
      </c>
      <c r="G52">
        <v>57103.104785562376</v>
      </c>
      <c r="H52">
        <v>512.95467315727376</v>
      </c>
      <c r="I52" t="str">
        <f t="shared" si="1"/>
        <v>High Den</v>
      </c>
    </row>
    <row r="53" spans="1:9" x14ac:dyDescent="0.25">
      <c r="A53" t="s">
        <v>690</v>
      </c>
      <c r="B53">
        <v>2018</v>
      </c>
      <c r="C53" t="str">
        <f t="shared" si="0"/>
        <v>Region 4_2018</v>
      </c>
      <c r="D53">
        <v>460314526.45249069</v>
      </c>
      <c r="E53">
        <v>7829182</v>
      </c>
      <c r="F53">
        <v>15020.680000000002</v>
      </c>
      <c r="G53">
        <v>58794.715265591047</v>
      </c>
      <c r="H53">
        <v>521.22686855721577</v>
      </c>
      <c r="I53" t="str">
        <f t="shared" si="1"/>
        <v>High Den</v>
      </c>
    </row>
    <row r="54" spans="1:9" x14ac:dyDescent="0.25">
      <c r="A54" t="s">
        <v>690</v>
      </c>
      <c r="B54">
        <v>2019</v>
      </c>
      <c r="C54" t="str">
        <f t="shared" si="0"/>
        <v>Region 4_2019</v>
      </c>
      <c r="D54">
        <v>477666446.98879325</v>
      </c>
      <c r="E54">
        <v>7948214</v>
      </c>
      <c r="F54">
        <v>15020.680000000002</v>
      </c>
      <c r="G54">
        <v>60097.330920983419</v>
      </c>
      <c r="H54">
        <v>529.15140992285296</v>
      </c>
      <c r="I54" t="str">
        <f t="shared" si="1"/>
        <v>High Den</v>
      </c>
    </row>
    <row r="55" spans="1:9" x14ac:dyDescent="0.25">
      <c r="A55" t="s">
        <v>690</v>
      </c>
      <c r="B55">
        <v>2020</v>
      </c>
      <c r="C55" t="str">
        <f t="shared" si="0"/>
        <v>Region 4_2020</v>
      </c>
      <c r="D55">
        <v>493656752</v>
      </c>
      <c r="E55">
        <v>8070861</v>
      </c>
      <c r="F55">
        <v>15020.680000000002</v>
      </c>
      <c r="G55">
        <v>61165.314580439437</v>
      </c>
      <c r="H55">
        <v>537.31661948726685</v>
      </c>
      <c r="I55" t="str">
        <f t="shared" si="1"/>
        <v>High Den</v>
      </c>
    </row>
    <row r="56" spans="1:9" x14ac:dyDescent="0.25">
      <c r="A56" t="s">
        <v>690</v>
      </c>
      <c r="B56">
        <v>2021</v>
      </c>
      <c r="C56" t="str">
        <f t="shared" si="0"/>
        <v>Region 4_2021</v>
      </c>
      <c r="D56">
        <v>515444106.85972989</v>
      </c>
      <c r="E56">
        <v>8177110</v>
      </c>
      <c r="F56">
        <v>15020.680000000002</v>
      </c>
      <c r="G56">
        <v>63034.997310752806</v>
      </c>
      <c r="H56">
        <v>544.39013413507234</v>
      </c>
      <c r="I56" t="str">
        <f t="shared" si="1"/>
        <v>High Den</v>
      </c>
    </row>
    <row r="57" spans="1:9" x14ac:dyDescent="0.25">
      <c r="A57" t="s">
        <v>621</v>
      </c>
      <c r="B57">
        <v>2017</v>
      </c>
      <c r="C57" t="str">
        <f t="shared" si="0"/>
        <v>Region 5_2017</v>
      </c>
      <c r="D57">
        <v>49991635.518952586</v>
      </c>
      <c r="E57">
        <v>1134335</v>
      </c>
      <c r="F57">
        <v>15418.810000000001</v>
      </c>
      <c r="G57">
        <v>44071.315368874792</v>
      </c>
      <c r="H57">
        <v>73.56825851022225</v>
      </c>
      <c r="I57" t="str">
        <f t="shared" si="1"/>
        <v>Mid Den</v>
      </c>
    </row>
    <row r="58" spans="1:9" x14ac:dyDescent="0.25">
      <c r="A58" t="s">
        <v>621</v>
      </c>
      <c r="B58">
        <v>2018</v>
      </c>
      <c r="C58" t="str">
        <f t="shared" si="0"/>
        <v>Region 5_2018</v>
      </c>
      <c r="D58">
        <v>51114052.338105395</v>
      </c>
      <c r="E58">
        <v>1140544</v>
      </c>
      <c r="F58">
        <v>15418.810000000001</v>
      </c>
      <c r="G58">
        <v>44815.502372644449</v>
      </c>
      <c r="H58">
        <v>73.970948471380083</v>
      </c>
      <c r="I58" t="str">
        <f t="shared" si="1"/>
        <v>Mid Den</v>
      </c>
    </row>
    <row r="59" spans="1:9" x14ac:dyDescent="0.25">
      <c r="A59" t="s">
        <v>621</v>
      </c>
      <c r="B59">
        <v>2019</v>
      </c>
      <c r="C59" t="str">
        <f t="shared" si="0"/>
        <v>Region 5_2019</v>
      </c>
      <c r="D59">
        <v>52141946.325710408</v>
      </c>
      <c r="E59">
        <v>1145561</v>
      </c>
      <c r="F59">
        <v>15418.810000000001</v>
      </c>
      <c r="G59">
        <v>45516.516646176337</v>
      </c>
      <c r="H59">
        <v>74.296330261544171</v>
      </c>
      <c r="I59" t="str">
        <f t="shared" si="1"/>
        <v>Mid Den</v>
      </c>
    </row>
    <row r="60" spans="1:9" x14ac:dyDescent="0.25">
      <c r="A60" t="s">
        <v>621</v>
      </c>
      <c r="B60">
        <v>2020</v>
      </c>
      <c r="C60" t="str">
        <f t="shared" si="0"/>
        <v>Region 5_2020</v>
      </c>
      <c r="D60">
        <v>53793841</v>
      </c>
      <c r="E60">
        <v>1150975</v>
      </c>
      <c r="F60">
        <v>15418.810000000001</v>
      </c>
      <c r="G60">
        <v>46737.627663502681</v>
      </c>
      <c r="H60">
        <v>74.647459823423461</v>
      </c>
      <c r="I60" t="str">
        <f t="shared" si="1"/>
        <v>High Den</v>
      </c>
    </row>
    <row r="61" spans="1:9" x14ac:dyDescent="0.25">
      <c r="A61" t="s">
        <v>621</v>
      </c>
      <c r="B61">
        <v>2021</v>
      </c>
      <c r="C61" t="str">
        <f t="shared" si="0"/>
        <v>Region 5_2021</v>
      </c>
      <c r="D61">
        <v>55858703.127089359</v>
      </c>
      <c r="E61">
        <v>1161889</v>
      </c>
      <c r="F61">
        <v>15418.810000000001</v>
      </c>
      <c r="G61">
        <v>48075.765522428868</v>
      </c>
      <c r="H61">
        <v>75.355296550122858</v>
      </c>
      <c r="I61" t="str">
        <f t="shared" si="1"/>
        <v>High Den</v>
      </c>
    </row>
    <row r="62" spans="1:9" x14ac:dyDescent="0.25">
      <c r="A62" t="s">
        <v>663</v>
      </c>
      <c r="B62">
        <v>2017</v>
      </c>
      <c r="C62" t="str">
        <f t="shared" si="0"/>
        <v>Region 6_2017</v>
      </c>
      <c r="D62">
        <v>31876396.367859781</v>
      </c>
      <c r="E62">
        <v>877514</v>
      </c>
      <c r="F62">
        <v>21700</v>
      </c>
      <c r="G62">
        <v>36325.79807029834</v>
      </c>
      <c r="H62">
        <v>40.438433179723503</v>
      </c>
      <c r="I62" t="str">
        <f t="shared" si="1"/>
        <v>Mid Den</v>
      </c>
    </row>
    <row r="63" spans="1:9" x14ac:dyDescent="0.25">
      <c r="A63" t="s">
        <v>663</v>
      </c>
      <c r="B63">
        <v>2018</v>
      </c>
      <c r="C63" t="str">
        <f t="shared" si="0"/>
        <v>Region 6_2018</v>
      </c>
      <c r="D63">
        <v>32546902.280902471</v>
      </c>
      <c r="E63">
        <v>878947</v>
      </c>
      <c r="F63">
        <v>21700</v>
      </c>
      <c r="G63">
        <v>37029.425301983472</v>
      </c>
      <c r="H63">
        <v>40.50447004608295</v>
      </c>
      <c r="I63" t="str">
        <f t="shared" si="1"/>
        <v>Mid Den</v>
      </c>
    </row>
    <row r="64" spans="1:9" x14ac:dyDescent="0.25">
      <c r="A64" t="s">
        <v>663</v>
      </c>
      <c r="B64">
        <v>2019</v>
      </c>
      <c r="C64" t="str">
        <f t="shared" si="0"/>
        <v>Region 6_2019</v>
      </c>
      <c r="D64">
        <v>34087974.40803393</v>
      </c>
      <c r="E64">
        <v>882968</v>
      </c>
      <c r="F64">
        <v>21700</v>
      </c>
      <c r="G64">
        <v>38606.126618443624</v>
      </c>
      <c r="H64">
        <v>40.689769585253458</v>
      </c>
      <c r="I64" t="str">
        <f t="shared" si="1"/>
        <v>Mid Den</v>
      </c>
    </row>
    <row r="65" spans="1:9" x14ac:dyDescent="0.25">
      <c r="A65" t="s">
        <v>663</v>
      </c>
      <c r="B65">
        <v>2020</v>
      </c>
      <c r="C65" t="str">
        <f t="shared" si="0"/>
        <v>Region 6_2020</v>
      </c>
      <c r="D65">
        <v>36489892</v>
      </c>
      <c r="E65">
        <v>889128</v>
      </c>
      <c r="F65">
        <v>21700</v>
      </c>
      <c r="G65">
        <v>41040.08871613536</v>
      </c>
      <c r="H65">
        <v>40.973640552995391</v>
      </c>
      <c r="I65" t="str">
        <f t="shared" si="1"/>
        <v>Mid Den</v>
      </c>
    </row>
    <row r="66" spans="1:9" x14ac:dyDescent="0.25">
      <c r="A66" t="s">
        <v>663</v>
      </c>
      <c r="B66">
        <v>2021</v>
      </c>
      <c r="C66" t="str">
        <f t="shared" si="0"/>
        <v>Region 6_2021</v>
      </c>
      <c r="D66">
        <v>37762874.171426393</v>
      </c>
      <c r="E66">
        <v>890966</v>
      </c>
      <c r="F66">
        <v>21700</v>
      </c>
      <c r="G66">
        <v>42384.192181773928</v>
      </c>
      <c r="H66">
        <v>41.058341013824887</v>
      </c>
      <c r="I66" t="str">
        <f t="shared" si="1"/>
        <v>Mid Den</v>
      </c>
    </row>
    <row r="67" spans="1:9" x14ac:dyDescent="0.25">
      <c r="A67" t="s">
        <v>624</v>
      </c>
      <c r="B67">
        <v>2017</v>
      </c>
      <c r="C67" t="str">
        <f t="shared" ref="C67:C81" si="2">A67&amp;"_"&amp;B67</f>
        <v>Region 7_2017</v>
      </c>
      <c r="D67">
        <v>33540200.612395737</v>
      </c>
      <c r="E67">
        <v>464414</v>
      </c>
      <c r="F67">
        <v>23444.07</v>
      </c>
      <c r="G67">
        <v>72220.47701489563</v>
      </c>
      <c r="H67">
        <v>19.809444349893173</v>
      </c>
      <c r="I67" t="str">
        <f t="shared" ref="I67:I81" si="3">IF(H67&lt;=$O$3,"Low Den",IF(AND(H67&gt;$O$3,H67&lt;=$P$3),"Mid Den","High Den"))</f>
        <v>Low Den</v>
      </c>
    </row>
    <row r="68" spans="1:9" x14ac:dyDescent="0.25">
      <c r="A68" t="s">
        <v>624</v>
      </c>
      <c r="B68">
        <v>2018</v>
      </c>
      <c r="C68" t="str">
        <f t="shared" si="2"/>
        <v>Region 7_2018</v>
      </c>
      <c r="D68">
        <v>39360942.250806518</v>
      </c>
      <c r="E68">
        <v>476272</v>
      </c>
      <c r="F68">
        <v>23444.07</v>
      </c>
      <c r="G68">
        <v>82643.830102980064</v>
      </c>
      <c r="H68">
        <v>20.315243897497322</v>
      </c>
      <c r="I68" t="str">
        <f t="shared" si="3"/>
        <v>Low Den</v>
      </c>
    </row>
    <row r="69" spans="1:9" x14ac:dyDescent="0.25">
      <c r="A69" t="s">
        <v>624</v>
      </c>
      <c r="B69">
        <v>2019</v>
      </c>
      <c r="C69" t="str">
        <f t="shared" si="2"/>
        <v>Region 7_2019</v>
      </c>
      <c r="D69">
        <v>41352700.418096595</v>
      </c>
      <c r="E69">
        <v>486686</v>
      </c>
      <c r="F69">
        <v>23444.07</v>
      </c>
      <c r="G69">
        <v>84967.92679077803</v>
      </c>
      <c r="H69">
        <v>20.759450044296916</v>
      </c>
      <c r="I69" t="str">
        <f t="shared" si="3"/>
        <v>Low Den</v>
      </c>
    </row>
    <row r="70" spans="1:9" x14ac:dyDescent="0.25">
      <c r="A70" t="s">
        <v>624</v>
      </c>
      <c r="B70">
        <v>2020</v>
      </c>
      <c r="C70" t="str">
        <f t="shared" si="2"/>
        <v>Region 7_2020</v>
      </c>
      <c r="D70">
        <v>34478107</v>
      </c>
      <c r="E70">
        <v>488317</v>
      </c>
      <c r="F70">
        <v>23444.07</v>
      </c>
      <c r="G70">
        <v>70605.993647569107</v>
      </c>
      <c r="H70">
        <v>20.829019875815078</v>
      </c>
      <c r="I70" t="str">
        <f t="shared" si="3"/>
        <v>Low Den</v>
      </c>
    </row>
    <row r="71" spans="1:9" x14ac:dyDescent="0.25">
      <c r="A71" t="s">
        <v>624</v>
      </c>
      <c r="B71">
        <v>2021</v>
      </c>
      <c r="C71" t="str">
        <f t="shared" si="2"/>
        <v>Region 7_2021</v>
      </c>
      <c r="D71">
        <v>36300827.140919596</v>
      </c>
      <c r="E71">
        <v>479853</v>
      </c>
      <c r="F71">
        <v>23444.07</v>
      </c>
      <c r="G71">
        <v>75649.890989364649</v>
      </c>
      <c r="H71">
        <v>20.467990412927449</v>
      </c>
      <c r="I71" t="str">
        <f t="shared" si="3"/>
        <v>Low Den</v>
      </c>
    </row>
    <row r="72" spans="1:9" x14ac:dyDescent="0.25">
      <c r="A72" t="s">
        <v>686</v>
      </c>
      <c r="B72">
        <v>2017</v>
      </c>
      <c r="C72" t="str">
        <f t="shared" si="2"/>
        <v>Region 8_2017</v>
      </c>
      <c r="D72">
        <v>7393227.7478618948</v>
      </c>
      <c r="E72">
        <v>157789</v>
      </c>
      <c r="F72">
        <v>16286.859999999999</v>
      </c>
      <c r="G72">
        <v>46855.153070631633</v>
      </c>
      <c r="H72">
        <v>9.6881166781073826</v>
      </c>
      <c r="I72" t="str">
        <f t="shared" si="3"/>
        <v>Low Den</v>
      </c>
    </row>
    <row r="73" spans="1:9" x14ac:dyDescent="0.25">
      <c r="A73" t="s">
        <v>686</v>
      </c>
      <c r="B73">
        <v>2018</v>
      </c>
      <c r="C73" t="str">
        <f t="shared" si="2"/>
        <v>Region 8_2018</v>
      </c>
      <c r="D73">
        <v>7895543.3247786611</v>
      </c>
      <c r="E73">
        <v>158066</v>
      </c>
      <c r="F73">
        <v>16286.859999999999</v>
      </c>
      <c r="G73">
        <v>49950.927617442467</v>
      </c>
      <c r="H73">
        <v>9.7051242535393563</v>
      </c>
      <c r="I73" t="str">
        <f t="shared" si="3"/>
        <v>Low Den</v>
      </c>
    </row>
    <row r="74" spans="1:9" x14ac:dyDescent="0.25">
      <c r="A74" t="s">
        <v>686</v>
      </c>
      <c r="B74">
        <v>2019</v>
      </c>
      <c r="C74" t="str">
        <f t="shared" si="2"/>
        <v>Region 8_2019</v>
      </c>
      <c r="D74">
        <v>8277612.0913940938</v>
      </c>
      <c r="E74">
        <v>159280</v>
      </c>
      <c r="F74">
        <v>16286.859999999999</v>
      </c>
      <c r="G74">
        <v>51968.935782233137</v>
      </c>
      <c r="H74">
        <v>9.7796628693314744</v>
      </c>
      <c r="I74" t="str">
        <f t="shared" si="3"/>
        <v>Low Den</v>
      </c>
    </row>
    <row r="75" spans="1:9" x14ac:dyDescent="0.25">
      <c r="A75" t="s">
        <v>686</v>
      </c>
      <c r="B75">
        <v>2020</v>
      </c>
      <c r="C75" t="str">
        <f t="shared" si="2"/>
        <v>Region 8_2020</v>
      </c>
      <c r="D75">
        <v>8708532</v>
      </c>
      <c r="E75">
        <v>159699</v>
      </c>
      <c r="F75">
        <v>16286.859999999999</v>
      </c>
      <c r="G75">
        <v>54530.911276839557</v>
      </c>
      <c r="H75">
        <v>9.8053891296419327</v>
      </c>
      <c r="I75" t="str">
        <f t="shared" si="3"/>
        <v>Low Den</v>
      </c>
    </row>
    <row r="76" spans="1:9" x14ac:dyDescent="0.25">
      <c r="A76" t="s">
        <v>686</v>
      </c>
      <c r="B76">
        <v>2021</v>
      </c>
      <c r="C76" t="str">
        <f t="shared" si="2"/>
        <v>Region 8_2021</v>
      </c>
      <c r="D76">
        <v>8865544.7095455509</v>
      </c>
      <c r="E76">
        <v>158898</v>
      </c>
      <c r="F76">
        <v>16286.859999999999</v>
      </c>
      <c r="G76">
        <v>55793.935163095513</v>
      </c>
      <c r="H76">
        <v>9.7562083790245637</v>
      </c>
      <c r="I76" t="str">
        <f t="shared" si="3"/>
        <v>Low Den</v>
      </c>
    </row>
    <row r="77" spans="1:9" x14ac:dyDescent="0.25">
      <c r="A77" t="s">
        <v>653</v>
      </c>
      <c r="B77">
        <v>2017</v>
      </c>
      <c r="C77" t="str">
        <f t="shared" si="2"/>
        <v>Region 9_2017</v>
      </c>
      <c r="D77">
        <v>51062792.735719569</v>
      </c>
      <c r="E77">
        <v>1208996</v>
      </c>
      <c r="F77">
        <v>17110.57</v>
      </c>
      <c r="G77">
        <v>42235.700313085872</v>
      </c>
      <c r="H77">
        <v>70.657844829248816</v>
      </c>
      <c r="I77" t="str">
        <f t="shared" si="3"/>
        <v>Mid Den</v>
      </c>
    </row>
    <row r="78" spans="1:9" x14ac:dyDescent="0.25">
      <c r="A78" t="s">
        <v>653</v>
      </c>
      <c r="B78">
        <v>2018</v>
      </c>
      <c r="C78" t="str">
        <f t="shared" si="2"/>
        <v>Region 9_2018</v>
      </c>
      <c r="D78">
        <v>52350361.254547901</v>
      </c>
      <c r="E78">
        <v>1224476</v>
      </c>
      <c r="F78">
        <v>17110.57</v>
      </c>
      <c r="G78">
        <v>42753.276711465071</v>
      </c>
      <c r="H78">
        <v>71.562548763717402</v>
      </c>
      <c r="I78" t="str">
        <f t="shared" si="3"/>
        <v>Mid Den</v>
      </c>
    </row>
    <row r="79" spans="1:9" x14ac:dyDescent="0.25">
      <c r="A79" t="s">
        <v>653</v>
      </c>
      <c r="B79">
        <v>2019</v>
      </c>
      <c r="C79" t="str">
        <f t="shared" si="2"/>
        <v>Region 9_2019</v>
      </c>
      <c r="D79">
        <v>53556125.165770747</v>
      </c>
      <c r="E79">
        <v>1242264</v>
      </c>
      <c r="F79">
        <v>17110.57</v>
      </c>
      <c r="G79">
        <v>43111.709882738891</v>
      </c>
      <c r="H79">
        <v>72.602140080663588</v>
      </c>
      <c r="I79" t="str">
        <f t="shared" si="3"/>
        <v>Mid Den</v>
      </c>
    </row>
    <row r="80" spans="1:9" x14ac:dyDescent="0.25">
      <c r="A80" t="s">
        <v>653</v>
      </c>
      <c r="B80">
        <v>2020</v>
      </c>
      <c r="C80" t="str">
        <f t="shared" si="2"/>
        <v>Region 9_2020</v>
      </c>
      <c r="D80">
        <v>56840597</v>
      </c>
      <c r="E80">
        <v>1256930</v>
      </c>
      <c r="F80">
        <v>17110.57</v>
      </c>
      <c r="G80">
        <v>45221.768117556268</v>
      </c>
      <c r="H80">
        <v>73.459271082143957</v>
      </c>
      <c r="I80" t="str">
        <f t="shared" si="3"/>
        <v>Mid Den</v>
      </c>
    </row>
    <row r="81" spans="1:9" x14ac:dyDescent="0.25">
      <c r="A81" t="s">
        <v>653</v>
      </c>
      <c r="B81">
        <v>2021</v>
      </c>
      <c r="C81" t="str">
        <f t="shared" si="2"/>
        <v>Region 9_2021</v>
      </c>
      <c r="D81">
        <v>59052814.762459636</v>
      </c>
      <c r="E81">
        <v>1274934</v>
      </c>
      <c r="F81">
        <v>17110.57</v>
      </c>
      <c r="G81">
        <v>46318.330801798082</v>
      </c>
      <c r="H81">
        <v>74.511486174919952</v>
      </c>
      <c r="I81" t="str">
        <f t="shared" si="3"/>
        <v>Mid Den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5E41-48FC-4B0C-8A82-9C1FF6251550}">
  <dimension ref="A1:BN81"/>
  <sheetViews>
    <sheetView workbookViewId="0">
      <selection activeCell="D10" sqref="D10"/>
    </sheetView>
  </sheetViews>
  <sheetFormatPr defaultColWidth="8.85546875" defaultRowHeight="15" x14ac:dyDescent="0.25"/>
  <cols>
    <col min="1" max="1" width="14.7109375" bestFit="1" customWidth="1"/>
    <col min="58" max="58" width="18" bestFit="1" customWidth="1"/>
    <col min="59" max="59" width="18.28515625" bestFit="1" customWidth="1"/>
  </cols>
  <sheetData>
    <row r="1" spans="1:66" x14ac:dyDescent="0.25">
      <c r="A1" t="s">
        <v>1375</v>
      </c>
      <c r="B1" t="s">
        <v>618</v>
      </c>
      <c r="C1" t="s">
        <v>615</v>
      </c>
      <c r="D1" t="s">
        <v>1367</v>
      </c>
      <c r="E1" t="s">
        <v>1376</v>
      </c>
      <c r="F1" t="s">
        <v>1379</v>
      </c>
      <c r="G1" t="s">
        <v>1380</v>
      </c>
      <c r="H1" t="s">
        <v>1381</v>
      </c>
      <c r="BA1" t="s">
        <v>1379</v>
      </c>
      <c r="BB1" t="s">
        <v>1380</v>
      </c>
      <c r="BC1" t="s">
        <v>1381</v>
      </c>
      <c r="BD1" t="s">
        <v>1416</v>
      </c>
      <c r="BF1" t="s">
        <v>1391</v>
      </c>
    </row>
    <row r="2" spans="1:66" ht="15.75" thickBot="1" x14ac:dyDescent="0.3">
      <c r="A2" t="str">
        <f>B2&amp;"_"&amp;C2</f>
        <v>Region 1_2017</v>
      </c>
      <c r="B2" t="s">
        <v>636</v>
      </c>
      <c r="C2">
        <v>2017</v>
      </c>
      <c r="D2">
        <v>420002.75</v>
      </c>
      <c r="E2">
        <f>VLOOKUP($A2,inc_pop_den!$C:$H,3,0)</f>
        <v>436906</v>
      </c>
      <c r="F2" t="str">
        <f>VLOOKUP($A2,inc_pop_den!$C:$I,7,0)</f>
        <v>Low Den</v>
      </c>
      <c r="G2">
        <f>D2/E2</f>
        <v>0.96131147203288581</v>
      </c>
      <c r="H2">
        <f>VLOOKUP($A2,inc_pop_den!$C:$I,5,0)</f>
        <v>49169.113370343024</v>
      </c>
      <c r="L2" t="s">
        <v>1382</v>
      </c>
      <c r="AW2" t="s">
        <v>1390</v>
      </c>
      <c r="BA2" t="str">
        <f>F2</f>
        <v>Low Den</v>
      </c>
      <c r="BB2">
        <f>LN(G2)</f>
        <v>-3.9456810107772737E-2</v>
      </c>
      <c r="BC2">
        <f>LN(H2)</f>
        <v>10.803020928320345</v>
      </c>
      <c r="BD2">
        <f>BC2^2</f>
        <v>116.70526117772737</v>
      </c>
    </row>
    <row r="3" spans="1:66" x14ac:dyDescent="0.25">
      <c r="A3" t="str">
        <f t="shared" ref="A3:A66" si="0">B3&amp;"_"&amp;C3</f>
        <v>Region 1_2018</v>
      </c>
      <c r="B3" t="s">
        <v>636</v>
      </c>
      <c r="C3">
        <v>2018</v>
      </c>
      <c r="D3">
        <v>423464.185</v>
      </c>
      <c r="E3">
        <f>VLOOKUP($A3,inc_pop_den!$C:$H,3,0)</f>
        <v>435167</v>
      </c>
      <c r="F3" t="str">
        <f>VLOOKUP($A3,inc_pop_den!$C:$I,7,0)</f>
        <v>Low Den</v>
      </c>
      <c r="G3">
        <f t="shared" ref="G3:G66" si="1">D3/E3</f>
        <v>0.97310730133488987</v>
      </c>
      <c r="H3">
        <f>VLOOKUP($A3,inc_pop_den!$C:$I,5,0)</f>
        <v>48630.652816287809</v>
      </c>
      <c r="L3" t="s">
        <v>1379</v>
      </c>
      <c r="M3" t="s">
        <v>1387</v>
      </c>
      <c r="N3" t="s">
        <v>1388</v>
      </c>
      <c r="O3" t="s">
        <v>1389</v>
      </c>
      <c r="AV3" t="s">
        <v>1383</v>
      </c>
      <c r="AW3">
        <f>CORREL(BB2:BB81,BC2:BC81)</f>
        <v>0.27196674343146299</v>
      </c>
      <c r="BA3" t="str">
        <f t="shared" ref="BA3:BA66" si="2">F3</f>
        <v>Low Den</v>
      </c>
      <c r="BB3">
        <f t="shared" ref="BB3:BC66" si="3">LN(G3)</f>
        <v>-2.7260924012175006E-2</v>
      </c>
      <c r="BC3">
        <f t="shared" si="3"/>
        <v>10.792009327455123</v>
      </c>
      <c r="BD3">
        <f t="shared" ref="BD3:BD66" si="4">BC3^2</f>
        <v>116.46746532387837</v>
      </c>
      <c r="BF3" s="9" t="s">
        <v>1392</v>
      </c>
      <c r="BG3" s="9"/>
    </row>
    <row r="4" spans="1:66" x14ac:dyDescent="0.25">
      <c r="A4" t="str">
        <f t="shared" si="0"/>
        <v>Region 1_2019</v>
      </c>
      <c r="B4" t="s">
        <v>636</v>
      </c>
      <c r="C4">
        <v>2019</v>
      </c>
      <c r="D4">
        <v>358148.85000000009</v>
      </c>
      <c r="E4">
        <f>VLOOKUP($A4,inc_pop_den!$C:$H,3,0)</f>
        <v>434349</v>
      </c>
      <c r="F4" t="str">
        <f>VLOOKUP($A4,inc_pop_den!$C:$I,7,0)</f>
        <v>Low Den</v>
      </c>
      <c r="G4">
        <f t="shared" si="1"/>
        <v>0.82456469336869687</v>
      </c>
      <c r="H4">
        <f>VLOOKUP($A4,inc_pop_den!$C:$I,5,0)</f>
        <v>50947.704589050038</v>
      </c>
      <c r="L4" t="s">
        <v>1383</v>
      </c>
      <c r="M4">
        <f>COUNT(G2:G81)</f>
        <v>80</v>
      </c>
      <c r="N4">
        <f>AVERAGE(G2:G81)</f>
        <v>0.83031657060942055</v>
      </c>
      <c r="O4">
        <f>CORREL(G2:G81,H2:H81)</f>
        <v>0.25862071371166934</v>
      </c>
      <c r="AV4" t="s">
        <v>1384</v>
      </c>
      <c r="AW4">
        <f t="array" ref="AW4">CORREL(IF(BA:BA=AV4,BB:BB),IF(BA:BA=AV4,BC:BC))</f>
        <v>-5.1808975537027006E-2</v>
      </c>
      <c r="BA4" t="str">
        <f t="shared" si="2"/>
        <v>Low Den</v>
      </c>
      <c r="BB4">
        <f t="shared" si="3"/>
        <v>-0.19289967630232918</v>
      </c>
      <c r="BC4">
        <f t="shared" si="3"/>
        <v>10.838554985409298</v>
      </c>
      <c r="BD4">
        <f t="shared" si="4"/>
        <v>117.47427417174073</v>
      </c>
      <c r="BF4" t="s">
        <v>1393</v>
      </c>
      <c r="BG4">
        <v>0.27196674343146315</v>
      </c>
    </row>
    <row r="5" spans="1:66" x14ac:dyDescent="0.25">
      <c r="A5" t="str">
        <f t="shared" si="0"/>
        <v>Region 1_2020</v>
      </c>
      <c r="B5" t="s">
        <v>636</v>
      </c>
      <c r="C5">
        <v>2020</v>
      </c>
      <c r="D5">
        <v>360217.44999999995</v>
      </c>
      <c r="E5">
        <f>VLOOKUP($A5,inc_pop_den!$C:$H,3,0)</f>
        <v>433919</v>
      </c>
      <c r="F5" t="str">
        <f>VLOOKUP($A5,inc_pop_den!$C:$I,7,0)</f>
        <v>Low Den</v>
      </c>
      <c r="G5">
        <f t="shared" si="1"/>
        <v>0.83014906007803291</v>
      </c>
      <c r="H5">
        <f>VLOOKUP($A5,inc_pop_den!$C:$I,5,0)</f>
        <v>53623.496551199649</v>
      </c>
      <c r="L5" t="s">
        <v>1384</v>
      </c>
      <c r="M5">
        <f t="array" ref="M5">COUNT(IF(F:F=L5,G:G))</f>
        <v>26</v>
      </c>
      <c r="N5">
        <f t="array" ref="N5">AVERAGE(IF(F:F=L5,G:G))</f>
        <v>0.93706694582882122</v>
      </c>
      <c r="O5">
        <f t="array" ref="O5">CORREL(IF(F:F=L5,G:G),IF(F:F=L5,H:H))</f>
        <v>-9.8867247780191209E-3</v>
      </c>
      <c r="AV5" t="s">
        <v>1385</v>
      </c>
      <c r="AW5">
        <f t="array" ref="AW5">CORREL(IF(BA:BA=AV5,BB:BB),IF(BA:BA=AV5,BC:BC))</f>
        <v>0.70296703434752261</v>
      </c>
      <c r="BA5" t="str">
        <f t="shared" si="2"/>
        <v>Low Den</v>
      </c>
      <c r="BB5">
        <f t="shared" si="3"/>
        <v>-0.18615000386046746</v>
      </c>
      <c r="BC5">
        <f t="shared" si="3"/>
        <v>10.889742619496028</v>
      </c>
      <c r="BD5">
        <f t="shared" si="4"/>
        <v>118.5864943188682</v>
      </c>
      <c r="BF5" t="s">
        <v>1394</v>
      </c>
      <c r="BG5">
        <v>7.3965909532715299E-2</v>
      </c>
    </row>
    <row r="6" spans="1:66" x14ac:dyDescent="0.25">
      <c r="A6" t="str">
        <f t="shared" si="0"/>
        <v>Region 1_2021</v>
      </c>
      <c r="B6" t="s">
        <v>636</v>
      </c>
      <c r="C6">
        <v>2021</v>
      </c>
      <c r="D6">
        <v>365624.43000000005</v>
      </c>
      <c r="E6">
        <f>VLOOKUP($A6,inc_pop_den!$C:$H,3,0)</f>
        <v>433971</v>
      </c>
      <c r="F6" t="str">
        <f>VLOOKUP($A6,inc_pop_den!$C:$I,7,0)</f>
        <v>Low Den</v>
      </c>
      <c r="G6">
        <f t="shared" si="1"/>
        <v>0.84250890036431014</v>
      </c>
      <c r="H6">
        <f>VLOOKUP($A6,inc_pop_den!$C:$I,5,0)</f>
        <v>55484.859667504665</v>
      </c>
      <c r="L6" t="s">
        <v>1385</v>
      </c>
      <c r="M6">
        <f t="array" ref="M6">COUNT(IF(F:F=L6,G:G))</f>
        <v>27</v>
      </c>
      <c r="N6">
        <f t="array" ref="N6">AVERAGE(IF(F:F=L6,G:G))</f>
        <v>0.78892807335113657</v>
      </c>
      <c r="O6">
        <f t="array" ref="O6">CORREL(IF(F:F=L6,G:G),IF(F:F=L6,H:H))</f>
        <v>0.63109802933699477</v>
      </c>
      <c r="AV6" t="s">
        <v>1386</v>
      </c>
      <c r="AW6">
        <f t="array" ref="AW6">CORREL(IF(BA:BA=AV6,BB:BB),IF(BA:BA=AV6,BC:BC))</f>
        <v>0.33889691099385411</v>
      </c>
      <c r="BA6" t="str">
        <f t="shared" si="2"/>
        <v>Low Den</v>
      </c>
      <c r="BB6">
        <f t="shared" si="3"/>
        <v>-0.17137105258078617</v>
      </c>
      <c r="BC6">
        <f t="shared" si="3"/>
        <v>10.923865463734469</v>
      </c>
      <c r="BD6">
        <f t="shared" si="4"/>
        <v>119.33083666977068</v>
      </c>
      <c r="BF6" t="s">
        <v>1395</v>
      </c>
      <c r="BG6">
        <v>6.2093677603647549E-2</v>
      </c>
    </row>
    <row r="7" spans="1:66" x14ac:dyDescent="0.25">
      <c r="A7" t="str">
        <f t="shared" si="0"/>
        <v>Region 10_2017</v>
      </c>
      <c r="B7" t="s">
        <v>627</v>
      </c>
      <c r="C7">
        <v>2017</v>
      </c>
      <c r="D7">
        <v>704740.63</v>
      </c>
      <c r="E7">
        <f>VLOOKUP($A7,inc_pop_den!$C:$H,3,0)</f>
        <v>774777</v>
      </c>
      <c r="F7" t="str">
        <f>VLOOKUP($A7,inc_pop_den!$C:$I,7,0)</f>
        <v>Mid Den</v>
      </c>
      <c r="G7">
        <f t="shared" si="1"/>
        <v>0.9096044797406222</v>
      </c>
      <c r="H7">
        <f>VLOOKUP($A7,inc_pop_den!$C:$I,5,0)</f>
        <v>42578.369545276182</v>
      </c>
      <c r="L7" t="s">
        <v>1386</v>
      </c>
      <c r="M7">
        <f t="array" ref="M7">COUNT(IF(F:F=L7,G:G))</f>
        <v>27</v>
      </c>
      <c r="N7">
        <f t="array" ref="N7">AVERAGE(IF(F:F=L7,G:G))</f>
        <v>0.76890841024902179</v>
      </c>
      <c r="O7">
        <f t="array" ref="O7">CORREL(IF(F:F=L7,G:G),IF(F:F=L7,H:H))</f>
        <v>0.39862264169818379</v>
      </c>
      <c r="BA7" t="str">
        <f t="shared" si="2"/>
        <v>Mid Den</v>
      </c>
      <c r="BB7">
        <f t="shared" si="3"/>
        <v>-9.4745411601229665E-2</v>
      </c>
      <c r="BC7">
        <f t="shared" si="3"/>
        <v>10.659101646152005</v>
      </c>
      <c r="BD7">
        <f t="shared" si="4"/>
        <v>113.61644790300038</v>
      </c>
      <c r="BF7" t="s">
        <v>1396</v>
      </c>
      <c r="BG7">
        <v>0.19502075855112275</v>
      </c>
    </row>
    <row r="8" spans="1:66" ht="15.75" thickBot="1" x14ac:dyDescent="0.3">
      <c r="A8" t="str">
        <f t="shared" si="0"/>
        <v>Region 10_2018</v>
      </c>
      <c r="B8" t="s">
        <v>627</v>
      </c>
      <c r="C8">
        <v>2018</v>
      </c>
      <c r="D8">
        <v>845954.7</v>
      </c>
      <c r="E8">
        <f>VLOOKUP($A8,inc_pop_den!$C:$H,3,0)</f>
        <v>769638</v>
      </c>
      <c r="F8" t="str">
        <f>VLOOKUP($A8,inc_pop_den!$C:$I,7,0)</f>
        <v>Mid Den</v>
      </c>
      <c r="G8">
        <f t="shared" si="1"/>
        <v>1.0991592151115199</v>
      </c>
      <c r="H8">
        <f>VLOOKUP($A8,inc_pop_den!$C:$I,5,0)</f>
        <v>42967.35388369501</v>
      </c>
      <c r="BA8" t="str">
        <f t="shared" si="2"/>
        <v>Mid Den</v>
      </c>
      <c r="BB8">
        <f t="shared" si="3"/>
        <v>9.4545537641385222E-2</v>
      </c>
      <c r="BC8">
        <f t="shared" si="3"/>
        <v>10.668195894321217</v>
      </c>
      <c r="BD8">
        <f t="shared" si="4"/>
        <v>113.81040363961208</v>
      </c>
      <c r="BF8" s="7" t="s">
        <v>1397</v>
      </c>
      <c r="BG8" s="7">
        <v>80</v>
      </c>
    </row>
    <row r="9" spans="1:66" x14ac:dyDescent="0.25">
      <c r="A9" t="str">
        <f t="shared" si="0"/>
        <v>Region 10_2019</v>
      </c>
      <c r="B9" t="s">
        <v>627</v>
      </c>
      <c r="C9">
        <v>2019</v>
      </c>
      <c r="D9">
        <v>697386.54</v>
      </c>
      <c r="E9">
        <f>VLOOKUP($A9,inc_pop_den!$C:$H,3,0)</f>
        <v>768468</v>
      </c>
      <c r="F9" t="str">
        <f>VLOOKUP($A9,inc_pop_den!$C:$I,7,0)</f>
        <v>Mid Den</v>
      </c>
      <c r="G9">
        <f t="shared" si="1"/>
        <v>0.90750238136135797</v>
      </c>
      <c r="H9">
        <f>VLOOKUP($A9,inc_pop_den!$C:$I,5,0)</f>
        <v>43633.292891614408</v>
      </c>
      <c r="BA9" t="str">
        <f t="shared" si="2"/>
        <v>Mid Den</v>
      </c>
      <c r="BB9">
        <f t="shared" si="3"/>
        <v>-9.705908875692347E-2</v>
      </c>
      <c r="BC9">
        <f t="shared" si="3"/>
        <v>10.683575736375696</v>
      </c>
      <c r="BD9">
        <f t="shared" si="4"/>
        <v>114.1387905148755</v>
      </c>
    </row>
    <row r="10" spans="1:66" ht="15.75" thickBot="1" x14ac:dyDescent="0.3">
      <c r="A10" t="str">
        <f t="shared" si="0"/>
        <v>Region 10_2020</v>
      </c>
      <c r="B10" t="s">
        <v>627</v>
      </c>
      <c r="C10">
        <v>2020</v>
      </c>
      <c r="D10">
        <v>764794.10000000009</v>
      </c>
      <c r="E10">
        <f>VLOOKUP($A10,inc_pop_den!$C:$H,3,0)</f>
        <v>768192</v>
      </c>
      <c r="F10" t="str">
        <f>VLOOKUP($A10,inc_pop_den!$C:$I,7,0)</f>
        <v>Mid Den</v>
      </c>
      <c r="G10">
        <f t="shared" si="1"/>
        <v>0.99557675685245373</v>
      </c>
      <c r="H10">
        <f>VLOOKUP($A10,inc_pop_den!$C:$I,5,0)</f>
        <v>45312.989460968092</v>
      </c>
      <c r="BA10" t="str">
        <f t="shared" si="2"/>
        <v>Mid Den</v>
      </c>
      <c r="BB10">
        <f t="shared" si="3"/>
        <v>-4.4330546305906713E-3</v>
      </c>
      <c r="BC10">
        <f t="shared" si="3"/>
        <v>10.721349013435917</v>
      </c>
      <c r="BD10">
        <f t="shared" si="4"/>
        <v>114.94732466790332</v>
      </c>
      <c r="BF10" t="s">
        <v>1398</v>
      </c>
    </row>
    <row r="11" spans="1:66" x14ac:dyDescent="0.25">
      <c r="A11" t="str">
        <f t="shared" si="0"/>
        <v>Region 10_2021</v>
      </c>
      <c r="B11" t="s">
        <v>627</v>
      </c>
      <c r="C11">
        <v>2021</v>
      </c>
      <c r="D11">
        <v>792255.71000000008</v>
      </c>
      <c r="E11">
        <f>VLOOKUP($A11,inc_pop_den!$C:$H,3,0)</f>
        <v>769631</v>
      </c>
      <c r="F11" t="str">
        <f>VLOOKUP($A11,inc_pop_den!$C:$I,7,0)</f>
        <v>Mid Den</v>
      </c>
      <c r="G11">
        <f t="shared" si="1"/>
        <v>1.0293968278304799</v>
      </c>
      <c r="H11">
        <f>VLOOKUP($A11,inc_pop_den!$C:$I,5,0)</f>
        <v>45968.219738842061</v>
      </c>
      <c r="BA11" t="str">
        <f t="shared" si="2"/>
        <v>Mid Den</v>
      </c>
      <c r="BB11">
        <f t="shared" si="3"/>
        <v>2.8973026660445871E-2</v>
      </c>
      <c r="BC11">
        <f t="shared" si="3"/>
        <v>10.735705561464391</v>
      </c>
      <c r="BD11">
        <f t="shared" si="4"/>
        <v>115.25537390245745</v>
      </c>
      <c r="BF11" s="8"/>
      <c r="BG11" s="8" t="s">
        <v>1403</v>
      </c>
      <c r="BH11" s="8" t="s">
        <v>1404</v>
      </c>
      <c r="BI11" s="8" t="s">
        <v>1405</v>
      </c>
      <c r="BJ11" s="8" t="s">
        <v>1406</v>
      </c>
      <c r="BK11" s="8" t="s">
        <v>1407</v>
      </c>
    </row>
    <row r="12" spans="1:66" x14ac:dyDescent="0.25">
      <c r="A12" t="str">
        <f t="shared" si="0"/>
        <v>Region 11_2017</v>
      </c>
      <c r="B12" t="s">
        <v>649</v>
      </c>
      <c r="C12">
        <v>2017</v>
      </c>
      <c r="D12">
        <v>1842281.35</v>
      </c>
      <c r="E12">
        <f>VLOOKUP($A12,inc_pop_den!$C:$H,3,0)</f>
        <v>2238129</v>
      </c>
      <c r="F12" t="str">
        <f>VLOOKUP($A12,inc_pop_den!$C:$I,7,0)</f>
        <v>High Den</v>
      </c>
      <c r="G12">
        <f t="shared" si="1"/>
        <v>0.82313456909767047</v>
      </c>
      <c r="H12">
        <f>VLOOKUP($A12,inc_pop_den!$C:$I,5,0)</f>
        <v>59848.367360753939</v>
      </c>
      <c r="BA12" t="str">
        <f t="shared" si="2"/>
        <v>High Den</v>
      </c>
      <c r="BB12">
        <f t="shared" si="3"/>
        <v>-0.19463558122469915</v>
      </c>
      <c r="BC12">
        <f t="shared" si="3"/>
        <v>10.999569431762815</v>
      </c>
      <c r="BD12">
        <f t="shared" si="4"/>
        <v>120.99052768417094</v>
      </c>
      <c r="BF12" t="s">
        <v>1399</v>
      </c>
      <c r="BG12">
        <v>1</v>
      </c>
      <c r="BH12">
        <v>0.23695229123359995</v>
      </c>
      <c r="BI12">
        <v>0.23695229123359995</v>
      </c>
      <c r="BJ12">
        <v>6.230160425995261</v>
      </c>
      <c r="BK12">
        <v>1.4668963353261233E-2</v>
      </c>
    </row>
    <row r="13" spans="1:66" x14ac:dyDescent="0.25">
      <c r="A13" t="str">
        <f t="shared" si="0"/>
        <v>Region 11_2018</v>
      </c>
      <c r="B13" t="s">
        <v>649</v>
      </c>
      <c r="C13">
        <v>2018</v>
      </c>
      <c r="D13">
        <v>1847787.0899999999</v>
      </c>
      <c r="E13">
        <f>VLOOKUP($A13,inc_pop_den!$C:$H,3,0)</f>
        <v>2290679</v>
      </c>
      <c r="F13" t="str">
        <f>VLOOKUP($A13,inc_pop_den!$C:$I,7,0)</f>
        <v>High Den</v>
      </c>
      <c r="G13">
        <f t="shared" si="1"/>
        <v>0.80665474734783871</v>
      </c>
      <c r="H13">
        <f>VLOOKUP($A13,inc_pop_den!$C:$I,5,0)</f>
        <v>61999.536490768376</v>
      </c>
      <c r="BA13" t="str">
        <f t="shared" si="2"/>
        <v>High Den</v>
      </c>
      <c r="BB13">
        <f t="shared" si="3"/>
        <v>-0.21485952462375704</v>
      </c>
      <c r="BC13">
        <f t="shared" si="3"/>
        <v>11.034882188043936</v>
      </c>
      <c r="BD13">
        <f t="shared" si="4"/>
        <v>121.76862490400931</v>
      </c>
      <c r="BF13" t="s">
        <v>1400</v>
      </c>
      <c r="BG13">
        <v>78</v>
      </c>
      <c r="BH13">
        <v>2.9665815087367147</v>
      </c>
      <c r="BI13">
        <v>3.8033096265855319E-2</v>
      </c>
    </row>
    <row r="14" spans="1:66" ht="15.75" thickBot="1" x14ac:dyDescent="0.3">
      <c r="A14" t="str">
        <f t="shared" si="0"/>
        <v>Region 11_2019</v>
      </c>
      <c r="B14" t="s">
        <v>649</v>
      </c>
      <c r="C14">
        <v>2019</v>
      </c>
      <c r="D14">
        <v>1911827.16</v>
      </c>
      <c r="E14">
        <f>VLOOKUP($A14,inc_pop_den!$C:$H,3,0)</f>
        <v>2353618</v>
      </c>
      <c r="F14" t="str">
        <f>VLOOKUP($A14,inc_pop_den!$C:$I,7,0)</f>
        <v>High Den</v>
      </c>
      <c r="G14">
        <f t="shared" si="1"/>
        <v>0.81229288695106849</v>
      </c>
      <c r="H14">
        <f>VLOOKUP($A14,inc_pop_den!$C:$I,5,0)</f>
        <v>63842.272330026542</v>
      </c>
      <c r="BA14" t="str">
        <f t="shared" si="2"/>
        <v>High Den</v>
      </c>
      <c r="BB14">
        <f t="shared" si="3"/>
        <v>-0.20789430564082045</v>
      </c>
      <c r="BC14">
        <f t="shared" si="3"/>
        <v>11.064170825632253</v>
      </c>
      <c r="BD14">
        <f t="shared" si="4"/>
        <v>122.41587605877189</v>
      </c>
      <c r="BF14" s="7" t="s">
        <v>1401</v>
      </c>
      <c r="BG14" s="7">
        <v>79</v>
      </c>
      <c r="BH14" s="7">
        <v>3.2035337999703146</v>
      </c>
      <c r="BI14" s="7"/>
      <c r="BJ14" s="7"/>
      <c r="BK14" s="7"/>
    </row>
    <row r="15" spans="1:66" ht="15.75" thickBot="1" x14ac:dyDescent="0.3">
      <c r="A15" t="str">
        <f t="shared" si="0"/>
        <v>Region 11_2020</v>
      </c>
      <c r="B15" t="s">
        <v>649</v>
      </c>
      <c r="C15">
        <v>2020</v>
      </c>
      <c r="D15">
        <v>1979558.2599999998</v>
      </c>
      <c r="E15">
        <f>VLOOKUP($A15,inc_pop_den!$C:$H,3,0)</f>
        <v>2423206</v>
      </c>
      <c r="F15" t="str">
        <f>VLOOKUP($A15,inc_pop_den!$C:$I,7,0)</f>
        <v>High Den</v>
      </c>
      <c r="G15">
        <f t="shared" si="1"/>
        <v>0.81691703470526222</v>
      </c>
      <c r="H15">
        <f>VLOOKUP($A15,inc_pop_den!$C:$I,5,0)</f>
        <v>64548.279840838957</v>
      </c>
      <c r="BA15" t="str">
        <f t="shared" si="2"/>
        <v>High Den</v>
      </c>
      <c r="BB15">
        <f t="shared" si="3"/>
        <v>-0.20221773798692272</v>
      </c>
      <c r="BC15">
        <f t="shared" si="3"/>
        <v>11.075168747443165</v>
      </c>
      <c r="BD15">
        <f t="shared" si="4"/>
        <v>122.65936278434179</v>
      </c>
    </row>
    <row r="16" spans="1:66" x14ac:dyDescent="0.25">
      <c r="A16" t="str">
        <f t="shared" si="0"/>
        <v>Region 11_2021</v>
      </c>
      <c r="B16" t="s">
        <v>649</v>
      </c>
      <c r="C16">
        <v>2021</v>
      </c>
      <c r="D16">
        <v>2222878.4300000002</v>
      </c>
      <c r="E16">
        <f>VLOOKUP($A16,inc_pop_den!$C:$H,3,0)</f>
        <v>2479637</v>
      </c>
      <c r="F16" t="str">
        <f>VLOOKUP($A16,inc_pop_den!$C:$I,7,0)</f>
        <v>High Den</v>
      </c>
      <c r="G16">
        <f t="shared" si="1"/>
        <v>0.89645316229754601</v>
      </c>
      <c r="H16">
        <f>VLOOKUP($A16,inc_pop_den!$C:$I,5,0)</f>
        <v>67653.010663745095</v>
      </c>
      <c r="BA16" t="str">
        <f t="shared" si="2"/>
        <v>High Den</v>
      </c>
      <c r="BB16">
        <f t="shared" si="3"/>
        <v>-0.10930923236864613</v>
      </c>
      <c r="BC16">
        <f t="shared" si="3"/>
        <v>11.122147136137803</v>
      </c>
      <c r="BD16">
        <f t="shared" si="4"/>
        <v>123.70215691789834</v>
      </c>
      <c r="BF16" s="8"/>
      <c r="BG16" s="8" t="s">
        <v>1408</v>
      </c>
      <c r="BH16" s="8" t="s">
        <v>1396</v>
      </c>
      <c r="BI16" s="8" t="s">
        <v>1409</v>
      </c>
      <c r="BJ16" s="8" t="s">
        <v>1410</v>
      </c>
      <c r="BK16" s="8" t="s">
        <v>1411</v>
      </c>
      <c r="BL16" s="8" t="s">
        <v>1412</v>
      </c>
      <c r="BM16" s="8" t="s">
        <v>1413</v>
      </c>
      <c r="BN16" s="8" t="s">
        <v>1414</v>
      </c>
    </row>
    <row r="17" spans="1:66" x14ac:dyDescent="0.25">
      <c r="A17" t="str">
        <f t="shared" si="0"/>
        <v>Region 12_2017</v>
      </c>
      <c r="B17" t="s">
        <v>642</v>
      </c>
      <c r="C17">
        <v>2017</v>
      </c>
      <c r="D17">
        <v>5254266.97</v>
      </c>
      <c r="E17">
        <f>VLOOKUP($A17,inc_pop_den!$C:$H,3,0)</f>
        <v>7062795</v>
      </c>
      <c r="F17" t="str">
        <f>VLOOKUP($A17,inc_pop_den!$C:$I,7,0)</f>
        <v>High Den</v>
      </c>
      <c r="G17">
        <f t="shared" si="1"/>
        <v>0.74393593046378947</v>
      </c>
      <c r="H17">
        <f>VLOOKUP($A17,inc_pop_den!$C:$I,5,0)</f>
        <v>57455.652095955404</v>
      </c>
      <c r="BA17" t="str">
        <f t="shared" si="2"/>
        <v>High Den</v>
      </c>
      <c r="BB17">
        <f t="shared" si="3"/>
        <v>-0.29580036282517685</v>
      </c>
      <c r="BC17">
        <f t="shared" si="3"/>
        <v>10.958768661308911</v>
      </c>
      <c r="BD17">
        <f t="shared" si="4"/>
        <v>120.0946105720863</v>
      </c>
      <c r="BF17" t="s">
        <v>1402</v>
      </c>
      <c r="BG17">
        <v>-2.8375337325223486</v>
      </c>
      <c r="BH17">
        <v>1.0551345047614069</v>
      </c>
      <c r="BI17">
        <v>-2.6892625724186585</v>
      </c>
      <c r="BJ17">
        <v>8.7538425377863792E-3</v>
      </c>
      <c r="BK17">
        <v>-4.9381451685286724</v>
      </c>
      <c r="BL17">
        <v>-0.73692229651602537</v>
      </c>
      <c r="BM17">
        <v>-4.9381451685286724</v>
      </c>
      <c r="BN17">
        <v>-0.73692229651602537</v>
      </c>
    </row>
    <row r="18" spans="1:66" ht="15.75" thickBot="1" x14ac:dyDescent="0.3">
      <c r="A18" t="str">
        <f t="shared" si="0"/>
        <v>Region 12_2018</v>
      </c>
      <c r="B18" t="s">
        <v>642</v>
      </c>
      <c r="C18">
        <v>2018</v>
      </c>
      <c r="D18">
        <v>5726100.9399999995</v>
      </c>
      <c r="E18">
        <f>VLOOKUP($A18,inc_pop_den!$C:$H,3,0)</f>
        <v>7136903</v>
      </c>
      <c r="F18" t="str">
        <f>VLOOKUP($A18,inc_pop_den!$C:$I,7,0)</f>
        <v>High Den</v>
      </c>
      <c r="G18">
        <f t="shared" si="1"/>
        <v>0.80232293194961446</v>
      </c>
      <c r="H18">
        <f>VLOOKUP($A18,inc_pop_den!$C:$I,5,0)</f>
        <v>59243.148495623878</v>
      </c>
      <c r="BA18" t="str">
        <f t="shared" si="2"/>
        <v>High Den</v>
      </c>
      <c r="BB18">
        <f t="shared" si="3"/>
        <v>-0.22024409386942756</v>
      </c>
      <c r="BC18">
        <f t="shared" si="3"/>
        <v>10.989405415106221</v>
      </c>
      <c r="BD18">
        <f t="shared" si="4"/>
        <v>120.76703137756593</v>
      </c>
      <c r="BF18" s="7" t="s">
        <v>1381</v>
      </c>
      <c r="BG18" s="7">
        <v>0.24405728571549906</v>
      </c>
      <c r="BH18" s="7">
        <v>9.7778227909505605E-2</v>
      </c>
      <c r="BI18" s="7">
        <v>2.4960289313217632</v>
      </c>
      <c r="BJ18" s="7">
        <v>1.4668963353261233E-2</v>
      </c>
      <c r="BK18" s="7">
        <v>4.9395787288258247E-2</v>
      </c>
      <c r="BL18" s="7">
        <v>0.4387187841427399</v>
      </c>
      <c r="BM18" s="7">
        <v>4.9395787288258247E-2</v>
      </c>
      <c r="BN18" s="7">
        <v>0.4387187841427399</v>
      </c>
    </row>
    <row r="19" spans="1:66" x14ac:dyDescent="0.25">
      <c r="A19" t="str">
        <f t="shared" si="0"/>
        <v>Region 12_2019</v>
      </c>
      <c r="B19" t="s">
        <v>642</v>
      </c>
      <c r="C19">
        <v>2019</v>
      </c>
      <c r="D19">
        <v>5116993.870000001</v>
      </c>
      <c r="E19">
        <f>VLOOKUP($A19,inc_pop_den!$C:$H,3,0)</f>
        <v>7222524</v>
      </c>
      <c r="F19" t="str">
        <f>VLOOKUP($A19,inc_pop_den!$C:$I,7,0)</f>
        <v>High Den</v>
      </c>
      <c r="G19">
        <f t="shared" si="1"/>
        <v>0.70847724008947577</v>
      </c>
      <c r="H19">
        <f>VLOOKUP($A19,inc_pop_den!$C:$I,5,0)</f>
        <v>60420.58320314021</v>
      </c>
      <c r="BA19" t="str">
        <f t="shared" si="2"/>
        <v>High Den</v>
      </c>
      <c r="BB19">
        <f t="shared" si="3"/>
        <v>-0.34463734444717137</v>
      </c>
      <c r="BC19">
        <f t="shared" si="3"/>
        <v>11.00908510737902</v>
      </c>
      <c r="BD19">
        <f t="shared" si="4"/>
        <v>121.19995490151453</v>
      </c>
    </row>
    <row r="20" spans="1:66" x14ac:dyDescent="0.25">
      <c r="A20" t="str">
        <f t="shared" si="0"/>
        <v>Region 12_2020</v>
      </c>
      <c r="B20" t="s">
        <v>642</v>
      </c>
      <c r="C20">
        <v>2020</v>
      </c>
      <c r="D20">
        <v>4857113.25</v>
      </c>
      <c r="E20">
        <f>VLOOKUP($A20,inc_pop_den!$C:$H,3,0)</f>
        <v>7312675</v>
      </c>
      <c r="F20" t="str">
        <f>VLOOKUP($A20,inc_pop_den!$C:$I,7,0)</f>
        <v>High Den</v>
      </c>
      <c r="G20">
        <f t="shared" si="1"/>
        <v>0.66420471988704544</v>
      </c>
      <c r="H20">
        <f>VLOOKUP($A20,inc_pop_den!$C:$I,5,0)</f>
        <v>60665.396588799587</v>
      </c>
      <c r="BA20" t="str">
        <f t="shared" si="2"/>
        <v>High Den</v>
      </c>
      <c r="BB20">
        <f t="shared" si="3"/>
        <v>-0.40916486394151513</v>
      </c>
      <c r="BC20">
        <f t="shared" si="3"/>
        <v>11.013128741822218</v>
      </c>
      <c r="BD20">
        <f t="shared" si="4"/>
        <v>121.28900468395062</v>
      </c>
    </row>
    <row r="21" spans="1:66" x14ac:dyDescent="0.25">
      <c r="A21" t="str">
        <f t="shared" si="0"/>
        <v>Region 12_2021</v>
      </c>
      <c r="B21" t="s">
        <v>642</v>
      </c>
      <c r="C21">
        <v>2021</v>
      </c>
      <c r="D21">
        <v>4996293.58</v>
      </c>
      <c r="E21">
        <f>VLOOKUP($A21,inc_pop_den!$C:$H,3,0)</f>
        <v>7383513</v>
      </c>
      <c r="F21" t="str">
        <f>VLOOKUP($A21,inc_pop_den!$C:$I,7,0)</f>
        <v>High Den</v>
      </c>
      <c r="G21">
        <f t="shared" si="1"/>
        <v>0.67668243829190799</v>
      </c>
      <c r="H21">
        <f>VLOOKUP($A21,inc_pop_den!$C:$I,5,0)</f>
        <v>61464.365951807777</v>
      </c>
      <c r="BA21" t="str">
        <f t="shared" si="2"/>
        <v>High Den</v>
      </c>
      <c r="BB21">
        <f t="shared" si="3"/>
        <v>-0.39055318806548306</v>
      </c>
      <c r="BC21">
        <f t="shared" si="3"/>
        <v>11.026212870450868</v>
      </c>
      <c r="BD21">
        <f t="shared" si="4"/>
        <v>121.57737026449637</v>
      </c>
    </row>
    <row r="22" spans="1:66" x14ac:dyDescent="0.25">
      <c r="A22" t="str">
        <f t="shared" si="0"/>
        <v>Region 13_2017</v>
      </c>
      <c r="B22" t="s">
        <v>639</v>
      </c>
      <c r="C22">
        <v>2017</v>
      </c>
      <c r="D22">
        <v>1539283.63</v>
      </c>
      <c r="E22">
        <f>VLOOKUP($A22,inc_pop_den!$C:$H,3,0)</f>
        <v>2596968</v>
      </c>
      <c r="F22" t="str">
        <f>VLOOKUP($A22,inc_pop_den!$C:$I,7,0)</f>
        <v>High Den</v>
      </c>
      <c r="G22">
        <f t="shared" si="1"/>
        <v>0.59272337202460712</v>
      </c>
      <c r="H22">
        <f>VLOOKUP($A22,inc_pop_den!$C:$I,5,0)</f>
        <v>48906.145577904113</v>
      </c>
      <c r="BA22" t="str">
        <f t="shared" si="2"/>
        <v>High Den</v>
      </c>
      <c r="BB22">
        <f t="shared" si="3"/>
        <v>-0.52302747782154346</v>
      </c>
      <c r="BC22">
        <f t="shared" si="3"/>
        <v>10.797658344006098</v>
      </c>
      <c r="BD22">
        <f t="shared" si="4"/>
        <v>116.58942571388452</v>
      </c>
    </row>
    <row r="23" spans="1:66" x14ac:dyDescent="0.25">
      <c r="A23" t="str">
        <f t="shared" si="0"/>
        <v>Region 13_2018</v>
      </c>
      <c r="B23" t="s">
        <v>639</v>
      </c>
      <c r="C23">
        <v>2018</v>
      </c>
      <c r="D23">
        <v>1543641.1</v>
      </c>
      <c r="E23">
        <f>VLOOKUP($A23,inc_pop_den!$C:$H,3,0)</f>
        <v>2635506</v>
      </c>
      <c r="F23" t="str">
        <f>VLOOKUP($A23,inc_pop_den!$C:$I,7,0)</f>
        <v>High Den</v>
      </c>
      <c r="G23">
        <f t="shared" si="1"/>
        <v>0.58570957531494905</v>
      </c>
      <c r="H23">
        <f>VLOOKUP($A23,inc_pop_den!$C:$I,5,0)</f>
        <v>50140.165465440819</v>
      </c>
      <c r="BA23" t="str">
        <f t="shared" si="2"/>
        <v>High Den</v>
      </c>
      <c r="BB23">
        <f t="shared" si="3"/>
        <v>-0.53493121752259831</v>
      </c>
      <c r="BC23">
        <f t="shared" si="3"/>
        <v>10.822577671775463</v>
      </c>
      <c r="BD23">
        <f t="shared" si="4"/>
        <v>117.1281874616128</v>
      </c>
      <c r="BF23" s="10"/>
      <c r="BG23" s="10"/>
    </row>
    <row r="24" spans="1:66" x14ac:dyDescent="0.25">
      <c r="A24" t="str">
        <f t="shared" si="0"/>
        <v>Region 13_2019</v>
      </c>
      <c r="B24" t="s">
        <v>639</v>
      </c>
      <c r="C24">
        <v>2019</v>
      </c>
      <c r="D24">
        <v>1599954.1799999997</v>
      </c>
      <c r="E24">
        <f>VLOOKUP($A24,inc_pop_den!$C:$H,3,0)</f>
        <v>2669813</v>
      </c>
      <c r="F24" t="str">
        <f>VLOOKUP($A24,inc_pop_den!$C:$I,7,0)</f>
        <v>High Den</v>
      </c>
      <c r="G24">
        <f t="shared" si="1"/>
        <v>0.59927574702797526</v>
      </c>
      <c r="H24">
        <f>VLOOKUP($A24,inc_pop_den!$C:$I,5,0)</f>
        <v>49702.803817214022</v>
      </c>
      <c r="BA24" t="str">
        <f t="shared" si="2"/>
        <v>High Den</v>
      </c>
      <c r="BB24">
        <f t="shared" si="3"/>
        <v>-0.51203344117056337</v>
      </c>
      <c r="BC24">
        <f t="shared" si="3"/>
        <v>10.813816625326742</v>
      </c>
      <c r="BD24">
        <f t="shared" si="4"/>
        <v>116.93863000619305</v>
      </c>
    </row>
    <row r="25" spans="1:66" x14ac:dyDescent="0.25">
      <c r="A25" t="str">
        <f t="shared" si="0"/>
        <v>Region 13_2020</v>
      </c>
      <c r="B25" t="s">
        <v>639</v>
      </c>
      <c r="C25">
        <v>2020</v>
      </c>
      <c r="D25">
        <v>1614969.2699999998</v>
      </c>
      <c r="E25">
        <f>VLOOKUP($A25,inc_pop_den!$C:$H,3,0)</f>
        <v>2707875</v>
      </c>
      <c r="F25" t="str">
        <f>VLOOKUP($A25,inc_pop_den!$C:$I,7,0)</f>
        <v>High Den</v>
      </c>
      <c r="G25">
        <f t="shared" si="1"/>
        <v>0.59639727461570413</v>
      </c>
      <c r="H25">
        <f>VLOOKUP($A25,inc_pop_den!$C:$I,5,0)</f>
        <v>50558.070442690303</v>
      </c>
      <c r="BA25" t="str">
        <f t="shared" si="2"/>
        <v>High Den</v>
      </c>
      <c r="BB25">
        <f t="shared" si="3"/>
        <v>-0.51684826582750776</v>
      </c>
      <c r="BC25">
        <f t="shared" si="3"/>
        <v>10.830877864379874</v>
      </c>
      <c r="BD25">
        <f t="shared" si="4"/>
        <v>117.30791531311392</v>
      </c>
    </row>
    <row r="26" spans="1:66" x14ac:dyDescent="0.25">
      <c r="A26" t="str">
        <f t="shared" si="0"/>
        <v>Region 13_2021</v>
      </c>
      <c r="B26" t="s">
        <v>639</v>
      </c>
      <c r="C26">
        <v>2021</v>
      </c>
      <c r="D26">
        <v>1729898.2499999998</v>
      </c>
      <c r="E26">
        <f>VLOOKUP($A26,inc_pop_den!$C:$H,3,0)</f>
        <v>2744429</v>
      </c>
      <c r="F26" t="str">
        <f>VLOOKUP($A26,inc_pop_den!$C:$I,7,0)</f>
        <v>High Den</v>
      </c>
      <c r="G26">
        <f t="shared" si="1"/>
        <v>0.63033084477681867</v>
      </c>
      <c r="H26">
        <f>VLOOKUP($A26,inc_pop_den!$C:$I,5,0)</f>
        <v>51635.958097190807</v>
      </c>
      <c r="BA26" t="str">
        <f t="shared" si="2"/>
        <v>High Den</v>
      </c>
      <c r="BB26">
        <f t="shared" si="3"/>
        <v>-0.46151044700039912</v>
      </c>
      <c r="BC26">
        <f t="shared" si="3"/>
        <v>10.851973571122491</v>
      </c>
      <c r="BD26">
        <f t="shared" si="4"/>
        <v>117.76533038834103</v>
      </c>
    </row>
    <row r="27" spans="1:66" x14ac:dyDescent="0.25">
      <c r="A27" t="str">
        <f t="shared" si="0"/>
        <v>Region 14_2017</v>
      </c>
      <c r="B27" t="s">
        <v>630</v>
      </c>
      <c r="C27">
        <v>2017</v>
      </c>
      <c r="D27">
        <v>570895.12000000011</v>
      </c>
      <c r="E27">
        <f>VLOOKUP($A27,inc_pop_den!$C:$H,3,0)</f>
        <v>763576</v>
      </c>
      <c r="F27" t="str">
        <f>VLOOKUP($A27,inc_pop_den!$C:$I,7,0)</f>
        <v>Mid Den</v>
      </c>
      <c r="G27">
        <f t="shared" si="1"/>
        <v>0.74765985311219851</v>
      </c>
      <c r="H27">
        <f>VLOOKUP($A27,inc_pop_den!$C:$I,5,0)</f>
        <v>45394.972967151334</v>
      </c>
      <c r="BA27" t="str">
        <f t="shared" si="2"/>
        <v>Mid Den</v>
      </c>
      <c r="BB27">
        <f t="shared" si="3"/>
        <v>-0.29080714626269283</v>
      </c>
      <c r="BC27">
        <f t="shared" si="3"/>
        <v>10.723156650302901</v>
      </c>
      <c r="BD27">
        <f t="shared" si="4"/>
        <v>114.98608854693532</v>
      </c>
    </row>
    <row r="28" spans="1:66" x14ac:dyDescent="0.25">
      <c r="A28" t="str">
        <f t="shared" si="0"/>
        <v>Region 14_2018</v>
      </c>
      <c r="B28" t="s">
        <v>630</v>
      </c>
      <c r="C28">
        <v>2018</v>
      </c>
      <c r="D28">
        <v>714875.94000000006</v>
      </c>
      <c r="E28">
        <f>VLOOKUP($A28,inc_pop_den!$C:$H,3,0)</f>
        <v>759118</v>
      </c>
      <c r="F28" t="str">
        <f>VLOOKUP($A28,inc_pop_den!$C:$I,7,0)</f>
        <v>Mid Den</v>
      </c>
      <c r="G28">
        <f t="shared" si="1"/>
        <v>0.94171912667068891</v>
      </c>
      <c r="H28">
        <f>VLOOKUP($A28,inc_pop_den!$C:$I,5,0)</f>
        <v>46308.53834582695</v>
      </c>
      <c r="BA28" t="str">
        <f t="shared" si="2"/>
        <v>Mid Den</v>
      </c>
      <c r="BB28">
        <f t="shared" si="3"/>
        <v>-6.0048215882650607E-2</v>
      </c>
      <c r="BC28">
        <f t="shared" si="3"/>
        <v>10.743081636589023</v>
      </c>
      <c r="BD28">
        <f t="shared" si="4"/>
        <v>115.41380305041629</v>
      </c>
    </row>
    <row r="29" spans="1:66" x14ac:dyDescent="0.25">
      <c r="A29" t="str">
        <f t="shared" si="0"/>
        <v>Region 14_2019</v>
      </c>
      <c r="B29" t="s">
        <v>630</v>
      </c>
      <c r="C29">
        <v>2019</v>
      </c>
      <c r="D29">
        <v>629510.93000000005</v>
      </c>
      <c r="E29">
        <f>VLOOKUP($A29,inc_pop_den!$C:$H,3,0)</f>
        <v>757823</v>
      </c>
      <c r="F29" t="str">
        <f>VLOOKUP($A29,inc_pop_den!$C:$I,7,0)</f>
        <v>Mid Den</v>
      </c>
      <c r="G29">
        <f t="shared" si="1"/>
        <v>0.83068332578979531</v>
      </c>
      <c r="H29">
        <f>VLOOKUP($A29,inc_pop_den!$C:$I,5,0)</f>
        <v>48422.438781995021</v>
      </c>
      <c r="BA29" t="str">
        <f t="shared" si="2"/>
        <v>Mid Den</v>
      </c>
      <c r="BB29">
        <f t="shared" si="3"/>
        <v>-0.18550663281985263</v>
      </c>
      <c r="BC29">
        <f t="shared" si="3"/>
        <v>10.787718596468499</v>
      </c>
      <c r="BD29">
        <f t="shared" si="4"/>
        <v>116.37487251659229</v>
      </c>
    </row>
    <row r="30" spans="1:66" x14ac:dyDescent="0.25">
      <c r="A30" t="str">
        <f t="shared" si="0"/>
        <v>Region 14_2020</v>
      </c>
      <c r="B30" t="s">
        <v>630</v>
      </c>
      <c r="C30">
        <v>2020</v>
      </c>
      <c r="D30">
        <v>620433.14000000013</v>
      </c>
      <c r="E30">
        <f>VLOOKUP($A30,inc_pop_den!$C:$H,3,0)</f>
        <v>757717</v>
      </c>
      <c r="F30" t="str">
        <f>VLOOKUP($A30,inc_pop_den!$C:$I,7,0)</f>
        <v>Mid Den</v>
      </c>
      <c r="G30">
        <f t="shared" si="1"/>
        <v>0.81881908416994753</v>
      </c>
      <c r="H30">
        <f>VLOOKUP($A30,inc_pop_den!$C:$I,5,0)</f>
        <v>49493.721270606307</v>
      </c>
      <c r="BA30" t="str">
        <f t="shared" si="2"/>
        <v>Mid Den</v>
      </c>
      <c r="BB30">
        <f t="shared" si="3"/>
        <v>-0.19989211798011622</v>
      </c>
      <c r="BC30">
        <f t="shared" si="3"/>
        <v>10.809601097493472</v>
      </c>
      <c r="BD30">
        <f t="shared" si="4"/>
        <v>116.84747588693207</v>
      </c>
    </row>
    <row r="31" spans="1:66" x14ac:dyDescent="0.25">
      <c r="A31" t="str">
        <f t="shared" si="0"/>
        <v>Region 14_2021</v>
      </c>
      <c r="B31" t="s">
        <v>630</v>
      </c>
      <c r="C31">
        <v>2021</v>
      </c>
      <c r="D31">
        <v>646017.22</v>
      </c>
      <c r="E31">
        <f>VLOOKUP($A31,inc_pop_den!$C:$H,3,0)</f>
        <v>758905</v>
      </c>
      <c r="F31" t="str">
        <f>VLOOKUP($A31,inc_pop_den!$C:$I,7,0)</f>
        <v>Mid Den</v>
      </c>
      <c r="G31">
        <f t="shared" si="1"/>
        <v>0.85124912867882008</v>
      </c>
      <c r="H31">
        <f>VLOOKUP($A31,inc_pop_den!$C:$I,5,0)</f>
        <v>50977.923330932637</v>
      </c>
      <c r="BA31" t="str">
        <f t="shared" si="2"/>
        <v>Mid Den</v>
      </c>
      <c r="BB31">
        <f t="shared" si="3"/>
        <v>-0.16105044509741739</v>
      </c>
      <c r="BC31">
        <f t="shared" si="3"/>
        <v>10.839147942124594</v>
      </c>
      <c r="BD31">
        <f t="shared" si="4"/>
        <v>117.48712811126381</v>
      </c>
      <c r="BF31" s="11"/>
      <c r="BG31" s="11"/>
      <c r="BH31" s="11"/>
      <c r="BI31" s="11"/>
      <c r="BJ31" s="11"/>
      <c r="BK31" s="11"/>
    </row>
    <row r="32" spans="1:66" x14ac:dyDescent="0.25">
      <c r="A32" t="str">
        <f t="shared" si="0"/>
        <v>Region 15_2017</v>
      </c>
      <c r="B32" t="s">
        <v>667</v>
      </c>
      <c r="C32">
        <v>2017</v>
      </c>
      <c r="D32">
        <v>945101.98</v>
      </c>
      <c r="E32">
        <f>VLOOKUP($A32,inc_pop_den!$C:$H,3,0)</f>
        <v>1370356</v>
      </c>
      <c r="F32" t="str">
        <f>VLOOKUP($A32,inc_pop_den!$C:$I,7,0)</f>
        <v>High Den</v>
      </c>
      <c r="G32">
        <f t="shared" si="1"/>
        <v>0.68967624471305267</v>
      </c>
      <c r="H32">
        <f>VLOOKUP($A32,inc_pop_den!$C:$I,5,0)</f>
        <v>28162.492587795216</v>
      </c>
      <c r="BA32" t="str">
        <f t="shared" si="2"/>
        <v>High Den</v>
      </c>
      <c r="BB32">
        <f t="shared" si="3"/>
        <v>-0.37153300206534612</v>
      </c>
      <c r="BC32">
        <f t="shared" si="3"/>
        <v>10.245746321546331</v>
      </c>
      <c r="BD32">
        <f t="shared" si="4"/>
        <v>104.97531768548018</v>
      </c>
    </row>
    <row r="33" spans="1:66" x14ac:dyDescent="0.25">
      <c r="A33" t="str">
        <f t="shared" si="0"/>
        <v>Region 15_2018</v>
      </c>
      <c r="B33" t="s">
        <v>667</v>
      </c>
      <c r="C33">
        <v>2018</v>
      </c>
      <c r="D33">
        <v>970243.47</v>
      </c>
      <c r="E33">
        <f>VLOOKUP($A33,inc_pop_den!$C:$H,3,0)</f>
        <v>1375730</v>
      </c>
      <c r="F33" t="str">
        <f>VLOOKUP($A33,inc_pop_den!$C:$I,7,0)</f>
        <v>High Den</v>
      </c>
      <c r="G33">
        <f t="shared" si="1"/>
        <v>0.70525718709339769</v>
      </c>
      <c r="H33">
        <f>VLOOKUP($A33,inc_pop_den!$C:$I,5,0)</f>
        <v>28600.62691342154</v>
      </c>
      <c r="BA33" t="str">
        <f t="shared" si="2"/>
        <v>High Den</v>
      </c>
      <c r="BB33">
        <f t="shared" si="3"/>
        <v>-0.34919273830701236</v>
      </c>
      <c r="BC33">
        <f t="shared" si="3"/>
        <v>10.261183916617407</v>
      </c>
      <c r="BD33">
        <f t="shared" si="4"/>
        <v>105.29189537064775</v>
      </c>
    </row>
    <row r="34" spans="1:66" x14ac:dyDescent="0.25">
      <c r="A34" t="str">
        <f t="shared" si="0"/>
        <v>Region 15_2019</v>
      </c>
      <c r="B34" t="s">
        <v>667</v>
      </c>
      <c r="C34">
        <v>2019</v>
      </c>
      <c r="D34">
        <v>1005512</v>
      </c>
      <c r="E34">
        <f>VLOOKUP($A34,inc_pop_den!$C:$H,3,0)</f>
        <v>1382902</v>
      </c>
      <c r="F34" t="str">
        <f>VLOOKUP($A34,inc_pop_den!$C:$I,7,0)</f>
        <v>High Den</v>
      </c>
      <c r="G34">
        <f t="shared" si="1"/>
        <v>0.7271028605063844</v>
      </c>
      <c r="H34">
        <f>VLOOKUP($A34,inc_pop_den!$C:$I,5,0)</f>
        <v>29307.706454083233</v>
      </c>
      <c r="BA34" t="str">
        <f t="shared" si="2"/>
        <v>High Den</v>
      </c>
      <c r="BB34">
        <f t="shared" si="3"/>
        <v>-0.31868732520323001</v>
      </c>
      <c r="BC34">
        <f t="shared" si="3"/>
        <v>10.285605779332439</v>
      </c>
      <c r="BD34">
        <f t="shared" si="4"/>
        <v>105.79368624783687</v>
      </c>
    </row>
    <row r="35" spans="1:66" x14ac:dyDescent="0.25">
      <c r="A35" t="str">
        <f t="shared" si="0"/>
        <v>Region 15_2020</v>
      </c>
      <c r="B35" t="s">
        <v>667</v>
      </c>
      <c r="C35">
        <v>2020</v>
      </c>
      <c r="D35">
        <v>997525.58000000007</v>
      </c>
      <c r="E35">
        <f>VLOOKUP($A35,inc_pop_den!$C:$H,3,0)</f>
        <v>1391574</v>
      </c>
      <c r="F35" t="str">
        <f>VLOOKUP($A35,inc_pop_den!$C:$I,7,0)</f>
        <v>High Den</v>
      </c>
      <c r="G35">
        <f t="shared" si="1"/>
        <v>0.71683257951068369</v>
      </c>
      <c r="H35">
        <f>VLOOKUP($A35,inc_pop_den!$C:$I,5,0)</f>
        <v>32266.419177133233</v>
      </c>
      <c r="BA35" t="str">
        <f t="shared" si="2"/>
        <v>High Den</v>
      </c>
      <c r="BB35">
        <f t="shared" si="3"/>
        <v>-0.33291296702800793</v>
      </c>
      <c r="BC35">
        <f t="shared" si="3"/>
        <v>10.381782314436975</v>
      </c>
      <c r="BD35">
        <f t="shared" si="4"/>
        <v>107.78140402435636</v>
      </c>
    </row>
    <row r="36" spans="1:66" x14ac:dyDescent="0.25">
      <c r="A36" t="str">
        <f t="shared" si="0"/>
        <v>Region 15_2021</v>
      </c>
      <c r="B36" t="s">
        <v>667</v>
      </c>
      <c r="C36">
        <v>2021</v>
      </c>
      <c r="D36">
        <v>1147037.08</v>
      </c>
      <c r="E36">
        <f>VLOOKUP($A36,inc_pop_den!$C:$H,3,0)</f>
        <v>1401885</v>
      </c>
      <c r="F36" t="str">
        <f>VLOOKUP($A36,inc_pop_den!$C:$I,7,0)</f>
        <v>High Den</v>
      </c>
      <c r="G36">
        <f t="shared" si="1"/>
        <v>0.81821053795425447</v>
      </c>
      <c r="H36">
        <f>VLOOKUP($A36,inc_pop_den!$C:$I,5,0)</f>
        <v>34062.01350864071</v>
      </c>
      <c r="BA36" t="str">
        <f t="shared" si="2"/>
        <v>High Den</v>
      </c>
      <c r="BB36">
        <f t="shared" si="3"/>
        <v>-0.20063559413412119</v>
      </c>
      <c r="BC36">
        <f t="shared" si="3"/>
        <v>10.435938068988472</v>
      </c>
      <c r="BD36">
        <f t="shared" si="4"/>
        <v>108.90880337976284</v>
      </c>
      <c r="BF36" s="11"/>
      <c r="BG36" s="11"/>
      <c r="BH36" s="11"/>
      <c r="BI36" s="11"/>
      <c r="BJ36" s="11"/>
      <c r="BK36" s="11"/>
      <c r="BL36" s="11"/>
      <c r="BM36" s="11"/>
      <c r="BN36" s="11"/>
    </row>
    <row r="37" spans="1:66" x14ac:dyDescent="0.25">
      <c r="A37" t="str">
        <f t="shared" si="0"/>
        <v>Region 16_2017</v>
      </c>
      <c r="B37" t="s">
        <v>713</v>
      </c>
      <c r="C37">
        <v>2017</v>
      </c>
      <c r="D37">
        <v>405507.82999999996</v>
      </c>
      <c r="E37">
        <f>VLOOKUP($A37,inc_pop_den!$C:$H,3,0)</f>
        <v>426500</v>
      </c>
      <c r="F37" t="str">
        <f>VLOOKUP($A37,inc_pop_den!$C:$I,7,0)</f>
        <v>Low Den</v>
      </c>
      <c r="G37">
        <f t="shared" si="1"/>
        <v>0.95078037514654157</v>
      </c>
      <c r="H37">
        <f>VLOOKUP($A37,inc_pop_den!$C:$I,5,0)</f>
        <v>33898.355478431542</v>
      </c>
      <c r="BA37" t="str">
        <f t="shared" si="2"/>
        <v>Low Den</v>
      </c>
      <c r="BB37">
        <f t="shared" si="3"/>
        <v>-5.047218406824084E-2</v>
      </c>
      <c r="BC37">
        <f t="shared" si="3"/>
        <v>10.431121781231125</v>
      </c>
      <c r="BD37">
        <f t="shared" si="4"/>
        <v>108.80830161487441</v>
      </c>
    </row>
    <row r="38" spans="1:66" x14ac:dyDescent="0.25">
      <c r="A38" t="str">
        <f t="shared" si="0"/>
        <v>Region 16_2018</v>
      </c>
      <c r="B38" t="s">
        <v>713</v>
      </c>
      <c r="C38">
        <v>2018</v>
      </c>
      <c r="D38">
        <v>391807.35000000003</v>
      </c>
      <c r="E38">
        <f>VLOOKUP($A38,inc_pop_den!$C:$H,3,0)</f>
        <v>425674</v>
      </c>
      <c r="F38" t="str">
        <f>VLOOKUP($A38,inc_pop_den!$C:$I,7,0)</f>
        <v>Low Den</v>
      </c>
      <c r="G38">
        <f t="shared" si="1"/>
        <v>0.92043993760483378</v>
      </c>
      <c r="H38">
        <f>VLOOKUP($A38,inc_pop_den!$C:$I,5,0)</f>
        <v>34766.122078423672</v>
      </c>
      <c r="BA38" t="str">
        <f t="shared" si="2"/>
        <v>Low Den</v>
      </c>
      <c r="BB38">
        <f t="shared" si="3"/>
        <v>-8.2903530188178434E-2</v>
      </c>
      <c r="BC38">
        <f t="shared" si="3"/>
        <v>10.456398688106709</v>
      </c>
      <c r="BD38">
        <f t="shared" si="4"/>
        <v>109.33627352463971</v>
      </c>
    </row>
    <row r="39" spans="1:66" x14ac:dyDescent="0.25">
      <c r="A39" t="str">
        <f t="shared" si="0"/>
        <v>Region 16_2019</v>
      </c>
      <c r="B39" t="s">
        <v>713</v>
      </c>
      <c r="C39">
        <v>2019</v>
      </c>
      <c r="D39">
        <v>414494.83000000007</v>
      </c>
      <c r="E39">
        <f>VLOOKUP($A39,inc_pop_den!$C:$H,3,0)</f>
        <v>425771</v>
      </c>
      <c r="F39" t="str">
        <f>VLOOKUP($A39,inc_pop_den!$C:$I,7,0)</f>
        <v>Low Den</v>
      </c>
      <c r="G39">
        <f t="shared" si="1"/>
        <v>0.97351588060248362</v>
      </c>
      <c r="H39">
        <f>VLOOKUP($A39,inc_pop_den!$C:$I,5,0)</f>
        <v>36137.14686589488</v>
      </c>
      <c r="BA39" t="str">
        <f t="shared" si="2"/>
        <v>Low Den</v>
      </c>
      <c r="BB39">
        <f t="shared" si="3"/>
        <v>-2.6841141408757114E-2</v>
      </c>
      <c r="BC39">
        <f t="shared" si="3"/>
        <v>10.495076614319606</v>
      </c>
      <c r="BD39">
        <f t="shared" si="4"/>
        <v>110.14663314043828</v>
      </c>
    </row>
    <row r="40" spans="1:66" x14ac:dyDescent="0.25">
      <c r="A40" t="str">
        <f t="shared" si="0"/>
        <v>Region 16_2020</v>
      </c>
      <c r="B40" t="s">
        <v>713</v>
      </c>
      <c r="C40">
        <v>2020</v>
      </c>
      <c r="D40">
        <v>412189.65</v>
      </c>
      <c r="E40">
        <f>VLOOKUP($A40,inc_pop_den!$C:$H,3,0)</f>
        <v>424935</v>
      </c>
      <c r="F40" t="str">
        <f>VLOOKUP($A40,inc_pop_den!$C:$I,7,0)</f>
        <v>Low Den</v>
      </c>
      <c r="G40">
        <f t="shared" si="1"/>
        <v>0.97000635391295142</v>
      </c>
      <c r="H40">
        <f>VLOOKUP($A40,inc_pop_den!$C:$I,5,0)</f>
        <v>38154.284772965279</v>
      </c>
      <c r="BA40" t="str">
        <f t="shared" si="2"/>
        <v>Low Den</v>
      </c>
      <c r="BB40">
        <f t="shared" si="3"/>
        <v>-3.0452657080439371E-2</v>
      </c>
      <c r="BC40">
        <f t="shared" si="3"/>
        <v>10.54939334424507</v>
      </c>
      <c r="BD40">
        <f t="shared" si="4"/>
        <v>111.28969993160219</v>
      </c>
    </row>
    <row r="41" spans="1:66" x14ac:dyDescent="0.25">
      <c r="A41" t="str">
        <f t="shared" si="0"/>
        <v>Region 16_2021</v>
      </c>
      <c r="B41" t="s">
        <v>713</v>
      </c>
      <c r="C41">
        <v>2021</v>
      </c>
      <c r="D41">
        <v>439855.43</v>
      </c>
      <c r="E41">
        <f>VLOOKUP($A41,inc_pop_den!$C:$H,3,0)</f>
        <v>425644</v>
      </c>
      <c r="F41" t="str">
        <f>VLOOKUP($A41,inc_pop_den!$C:$I,7,0)</f>
        <v>Low Den</v>
      </c>
      <c r="G41">
        <f t="shared" si="1"/>
        <v>1.0333880660833936</v>
      </c>
      <c r="H41">
        <f>VLOOKUP($A41,inc_pop_den!$C:$I,5,0)</f>
        <v>39961.975639334341</v>
      </c>
      <c r="BA41" t="str">
        <f t="shared" si="2"/>
        <v>Low Den</v>
      </c>
      <c r="BB41">
        <f t="shared" si="3"/>
        <v>3.2842788597757154E-2</v>
      </c>
      <c r="BC41">
        <f t="shared" si="3"/>
        <v>10.595683671964135</v>
      </c>
      <c r="BD41">
        <f t="shared" si="4"/>
        <v>112.26851247632737</v>
      </c>
    </row>
    <row r="42" spans="1:66" x14ac:dyDescent="0.25">
      <c r="A42" t="str">
        <f t="shared" si="0"/>
        <v>Region 2_2017</v>
      </c>
      <c r="B42" t="s">
        <v>645</v>
      </c>
      <c r="C42">
        <v>2017</v>
      </c>
      <c r="D42">
        <v>354099.29</v>
      </c>
      <c r="E42">
        <f>VLOOKUP($A42,inc_pop_den!$C:$H,3,0)</f>
        <v>428185</v>
      </c>
      <c r="F42" t="str">
        <f>VLOOKUP($A42,inc_pop_den!$C:$I,7,0)</f>
        <v>Low Den</v>
      </c>
      <c r="G42">
        <f t="shared" si="1"/>
        <v>0.82697733456333122</v>
      </c>
      <c r="H42">
        <f>VLOOKUP($A42,inc_pop_den!$C:$I,5,0)</f>
        <v>42781.4792901459</v>
      </c>
      <c r="BA42" t="str">
        <f t="shared" si="2"/>
        <v>Low Den</v>
      </c>
      <c r="BB42">
        <f t="shared" si="3"/>
        <v>-0.189977991149822</v>
      </c>
      <c r="BC42">
        <f t="shared" si="3"/>
        <v>10.66386056105085</v>
      </c>
      <c r="BD42">
        <f t="shared" si="4"/>
        <v>113.71792206553575</v>
      </c>
    </row>
    <row r="43" spans="1:66" x14ac:dyDescent="0.25">
      <c r="A43" t="str">
        <f t="shared" si="0"/>
        <v>Region 2_2018</v>
      </c>
      <c r="B43" t="s">
        <v>645</v>
      </c>
      <c r="C43">
        <v>2018</v>
      </c>
      <c r="D43">
        <v>348556.70999999996</v>
      </c>
      <c r="E43">
        <f>VLOOKUP($A43,inc_pop_den!$C:$H,3,0)</f>
        <v>428616</v>
      </c>
      <c r="F43" t="str">
        <f>VLOOKUP($A43,inc_pop_den!$C:$I,7,0)</f>
        <v>Mid Den</v>
      </c>
      <c r="G43">
        <f t="shared" si="1"/>
        <v>0.81321441570076702</v>
      </c>
      <c r="H43">
        <f>VLOOKUP($A43,inc_pop_den!$C:$I,5,0)</f>
        <v>43631.082787290557</v>
      </c>
      <c r="BA43" t="str">
        <f t="shared" si="2"/>
        <v>Mid Den</v>
      </c>
      <c r="BB43">
        <f t="shared" si="3"/>
        <v>-0.20676047025672803</v>
      </c>
      <c r="BC43">
        <f t="shared" si="3"/>
        <v>10.683525083304334</v>
      </c>
      <c r="BD43">
        <f t="shared" si="4"/>
        <v>114.13770820559287</v>
      </c>
    </row>
    <row r="44" spans="1:66" x14ac:dyDescent="0.25">
      <c r="A44" t="str">
        <f t="shared" si="0"/>
        <v>Region 2_2019</v>
      </c>
      <c r="B44" t="s">
        <v>645</v>
      </c>
      <c r="C44">
        <v>2019</v>
      </c>
      <c r="D44">
        <v>366680.73000000004</v>
      </c>
      <c r="E44">
        <f>VLOOKUP($A44,inc_pop_den!$C:$H,3,0)</f>
        <v>430440</v>
      </c>
      <c r="F44" t="str">
        <f>VLOOKUP($A44,inc_pop_den!$C:$I,7,0)</f>
        <v>Mid Den</v>
      </c>
      <c r="G44">
        <f t="shared" si="1"/>
        <v>0.85187419849456381</v>
      </c>
      <c r="H44">
        <f>VLOOKUP($A44,inc_pop_den!$C:$I,5,0)</f>
        <v>45054.36087954729</v>
      </c>
      <c r="BA44" t="str">
        <f t="shared" si="2"/>
        <v>Mid Den</v>
      </c>
      <c r="BB44">
        <f t="shared" si="3"/>
        <v>-0.1603164174039014</v>
      </c>
      <c r="BC44">
        <f t="shared" si="3"/>
        <v>10.715625059229435</v>
      </c>
      <c r="BD44">
        <f t="shared" si="4"/>
        <v>114.82462040998583</v>
      </c>
    </row>
    <row r="45" spans="1:66" x14ac:dyDescent="0.25">
      <c r="A45" t="str">
        <f t="shared" si="0"/>
        <v>Region 2_2020</v>
      </c>
      <c r="B45" t="s">
        <v>645</v>
      </c>
      <c r="C45">
        <v>2020</v>
      </c>
      <c r="D45">
        <v>366072.48</v>
      </c>
      <c r="E45">
        <f>VLOOKUP($A45,inc_pop_den!$C:$H,3,0)</f>
        <v>432169</v>
      </c>
      <c r="F45" t="str">
        <f>VLOOKUP($A45,inc_pop_den!$C:$I,7,0)</f>
        <v>Mid Den</v>
      </c>
      <c r="G45">
        <f t="shared" si="1"/>
        <v>0.84705862752765693</v>
      </c>
      <c r="H45">
        <f>VLOOKUP($A45,inc_pop_den!$C:$I,5,0)</f>
        <v>46975.87749236988</v>
      </c>
      <c r="BA45" t="str">
        <f t="shared" si="2"/>
        <v>Mid Den</v>
      </c>
      <c r="BB45">
        <f t="shared" si="3"/>
        <v>-0.16598536886524848</v>
      </c>
      <c r="BC45">
        <f t="shared" si="3"/>
        <v>10.757389504093783</v>
      </c>
      <c r="BD45">
        <f t="shared" si="4"/>
        <v>115.7214289427871</v>
      </c>
      <c r="BF45" s="11"/>
      <c r="BG45" s="11"/>
      <c r="BH45" s="11"/>
    </row>
    <row r="46" spans="1:66" x14ac:dyDescent="0.25">
      <c r="A46" t="str">
        <f t="shared" si="0"/>
        <v>Region 2_2021</v>
      </c>
      <c r="B46" t="s">
        <v>645</v>
      </c>
      <c r="C46">
        <v>2021</v>
      </c>
      <c r="D46">
        <v>378900.51999999996</v>
      </c>
      <c r="E46">
        <f>VLOOKUP($A46,inc_pop_den!$C:$H,3,0)</f>
        <v>434716</v>
      </c>
      <c r="F46" t="str">
        <f>VLOOKUP($A46,inc_pop_den!$C:$I,7,0)</f>
        <v>Mid Den</v>
      </c>
      <c r="G46">
        <f t="shared" si="1"/>
        <v>0.87160472584399917</v>
      </c>
      <c r="H46">
        <f>VLOOKUP($A46,inc_pop_den!$C:$I,5,0)</f>
        <v>48178.510386749011</v>
      </c>
      <c r="BA46" t="str">
        <f t="shared" si="2"/>
        <v>Mid Den</v>
      </c>
      <c r="BB46">
        <f t="shared" si="3"/>
        <v>-0.13741925389332968</v>
      </c>
      <c r="BC46">
        <f t="shared" si="3"/>
        <v>10.782668358022761</v>
      </c>
      <c r="BD46">
        <f t="shared" si="4"/>
        <v>116.26593691910526</v>
      </c>
    </row>
    <row r="47" spans="1:66" x14ac:dyDescent="0.25">
      <c r="A47" t="str">
        <f t="shared" si="0"/>
        <v>Region 3_2017</v>
      </c>
      <c r="B47" t="s">
        <v>633</v>
      </c>
      <c r="C47">
        <v>2017</v>
      </c>
      <c r="D47">
        <v>500711.88</v>
      </c>
      <c r="E47">
        <f>VLOOKUP($A47,inc_pop_den!$C:$H,3,0)</f>
        <v>546083</v>
      </c>
      <c r="F47" t="str">
        <f>VLOOKUP($A47,inc_pop_den!$C:$I,7,0)</f>
        <v>Low Den</v>
      </c>
      <c r="G47">
        <f t="shared" si="1"/>
        <v>0.91691534070828062</v>
      </c>
      <c r="H47">
        <f>VLOOKUP($A47,inc_pop_den!$C:$I,5,0)</f>
        <v>44588.918430262027</v>
      </c>
      <c r="BA47" t="str">
        <f t="shared" si="2"/>
        <v>Low Den</v>
      </c>
      <c r="BB47">
        <f t="shared" si="3"/>
        <v>-8.6740133006935352E-2</v>
      </c>
      <c r="BC47">
        <f t="shared" si="3"/>
        <v>10.705240641446251</v>
      </c>
      <c r="BD47">
        <f t="shared" si="4"/>
        <v>114.60217719127253</v>
      </c>
    </row>
    <row r="48" spans="1:66" x14ac:dyDescent="0.25">
      <c r="A48" t="str">
        <f t="shared" si="0"/>
        <v>Region 3_2018</v>
      </c>
      <c r="B48" t="s">
        <v>633</v>
      </c>
      <c r="C48">
        <v>2018</v>
      </c>
      <c r="D48">
        <v>480612.01</v>
      </c>
      <c r="E48">
        <f>VLOOKUP($A48,inc_pop_den!$C:$H,3,0)</f>
        <v>546360</v>
      </c>
      <c r="F48" t="str">
        <f>VLOOKUP($A48,inc_pop_den!$C:$I,7,0)</f>
        <v>Low Den</v>
      </c>
      <c r="G48">
        <f t="shared" si="1"/>
        <v>0.87966177977890037</v>
      </c>
      <c r="H48">
        <f>VLOOKUP($A48,inc_pop_den!$C:$I,5,0)</f>
        <v>46518.911482648677</v>
      </c>
      <c r="BA48" t="str">
        <f t="shared" si="2"/>
        <v>Low Den</v>
      </c>
      <c r="BB48">
        <f t="shared" si="3"/>
        <v>-0.12821778654821933</v>
      </c>
      <c r="BC48">
        <f t="shared" si="3"/>
        <v>10.747614207447592</v>
      </c>
      <c r="BD48">
        <f t="shared" si="4"/>
        <v>115.51121115212933</v>
      </c>
    </row>
    <row r="49" spans="1:56" x14ac:dyDescent="0.25">
      <c r="A49" t="str">
        <f t="shared" si="0"/>
        <v>Region 3_2019</v>
      </c>
      <c r="B49" t="s">
        <v>633</v>
      </c>
      <c r="C49">
        <v>2019</v>
      </c>
      <c r="D49">
        <v>515119.07</v>
      </c>
      <c r="E49">
        <f>VLOOKUP($A49,inc_pop_den!$C:$H,3,0)</f>
        <v>547073</v>
      </c>
      <c r="F49" t="str">
        <f>VLOOKUP($A49,inc_pop_den!$C:$I,7,0)</f>
        <v>Low Den</v>
      </c>
      <c r="G49">
        <f t="shared" si="1"/>
        <v>0.94159110392945733</v>
      </c>
      <c r="H49">
        <f>VLOOKUP($A49,inc_pop_den!$C:$I,5,0)</f>
        <v>46916.69297210253</v>
      </c>
      <c r="BA49" t="str">
        <f t="shared" si="2"/>
        <v>Low Den</v>
      </c>
      <c r="BB49">
        <f t="shared" si="3"/>
        <v>-6.0184170904132098E-2</v>
      </c>
      <c r="BC49">
        <f t="shared" si="3"/>
        <v>10.756128818017915</v>
      </c>
      <c r="BD49">
        <f t="shared" si="4"/>
        <v>115.69430714979548</v>
      </c>
    </row>
    <row r="50" spans="1:56" x14ac:dyDescent="0.25">
      <c r="A50" t="str">
        <f t="shared" si="0"/>
        <v>Region 3_2020</v>
      </c>
      <c r="B50" t="s">
        <v>633</v>
      </c>
      <c r="C50">
        <v>2020</v>
      </c>
      <c r="D50">
        <v>541853.53</v>
      </c>
      <c r="E50">
        <f>VLOOKUP($A50,inc_pop_den!$C:$H,3,0)</f>
        <v>549481</v>
      </c>
      <c r="F50" t="str">
        <f>VLOOKUP($A50,inc_pop_den!$C:$I,7,0)</f>
        <v>Low Den</v>
      </c>
      <c r="G50">
        <f t="shared" si="1"/>
        <v>0.98611877389755065</v>
      </c>
      <c r="H50">
        <f>VLOOKUP($A50,inc_pop_den!$C:$I,5,0)</f>
        <v>48441.571228122535</v>
      </c>
      <c r="BA50" t="str">
        <f t="shared" si="2"/>
        <v>Low Den</v>
      </c>
      <c r="BB50">
        <f t="shared" si="3"/>
        <v>-1.3978471291922616E-2</v>
      </c>
      <c r="BC50">
        <f t="shared" si="3"/>
        <v>10.788113633724841</v>
      </c>
      <c r="BD50">
        <f t="shared" si="4"/>
        <v>116.38339577415978</v>
      </c>
    </row>
    <row r="51" spans="1:56" x14ac:dyDescent="0.25">
      <c r="A51" t="str">
        <f t="shared" si="0"/>
        <v>Region 3_2021</v>
      </c>
      <c r="B51" t="s">
        <v>633</v>
      </c>
      <c r="C51">
        <v>2021</v>
      </c>
      <c r="D51">
        <v>538730.91099999996</v>
      </c>
      <c r="E51">
        <f>VLOOKUP($A51,inc_pop_den!$C:$H,3,0)</f>
        <v>551960</v>
      </c>
      <c r="F51" t="str">
        <f>VLOOKUP($A51,inc_pop_den!$C:$I,7,0)</f>
        <v>Low Den</v>
      </c>
      <c r="G51">
        <f t="shared" si="1"/>
        <v>0.97603252228422344</v>
      </c>
      <c r="H51">
        <f>VLOOKUP($A51,inc_pop_den!$C:$I,5,0)</f>
        <v>50618.010853369793</v>
      </c>
      <c r="BA51" t="str">
        <f t="shared" si="2"/>
        <v>Low Den</v>
      </c>
      <c r="BB51">
        <f t="shared" si="3"/>
        <v>-2.4259371111686481E-2</v>
      </c>
      <c r="BC51">
        <f t="shared" si="3"/>
        <v>10.832062737660678</v>
      </c>
      <c r="BD51">
        <f t="shared" si="4"/>
        <v>117.33358315261694</v>
      </c>
    </row>
    <row r="52" spans="1:56" x14ac:dyDescent="0.25">
      <c r="A52" t="str">
        <f t="shared" si="0"/>
        <v>Region 4_2017</v>
      </c>
      <c r="B52" t="s">
        <v>690</v>
      </c>
      <c r="C52">
        <v>2017</v>
      </c>
      <c r="D52">
        <v>7634645.7699999996</v>
      </c>
      <c r="E52">
        <f>VLOOKUP($A52,inc_pop_den!$C:$H,3,0)</f>
        <v>7704928</v>
      </c>
      <c r="F52" t="str">
        <f>VLOOKUP($A52,inc_pop_den!$C:$I,7,0)</f>
        <v>High Den</v>
      </c>
      <c r="G52">
        <f t="shared" si="1"/>
        <v>0.99087827556597541</v>
      </c>
      <c r="H52">
        <f>VLOOKUP($A52,inc_pop_den!$C:$I,5,0)</f>
        <v>57103.104785562376</v>
      </c>
      <c r="BA52" t="str">
        <f t="shared" si="2"/>
        <v>High Den</v>
      </c>
      <c r="BB52">
        <f t="shared" si="3"/>
        <v>-9.1635820995123619E-3</v>
      </c>
      <c r="BC52">
        <f t="shared" si="3"/>
        <v>10.952613768694098</v>
      </c>
      <c r="BD52">
        <f t="shared" si="4"/>
        <v>119.95974836618754</v>
      </c>
    </row>
    <row r="53" spans="1:56" x14ac:dyDescent="0.25">
      <c r="A53" t="str">
        <f t="shared" si="0"/>
        <v>Region 4_2018</v>
      </c>
      <c r="B53" t="s">
        <v>690</v>
      </c>
      <c r="C53">
        <v>2018</v>
      </c>
      <c r="D53">
        <v>7435572.9500000011</v>
      </c>
      <c r="E53">
        <f>VLOOKUP($A53,inc_pop_den!$C:$H,3,0)</f>
        <v>7829182</v>
      </c>
      <c r="F53" t="str">
        <f>VLOOKUP($A53,inc_pop_den!$C:$I,7,0)</f>
        <v>High Den</v>
      </c>
      <c r="G53">
        <f t="shared" si="1"/>
        <v>0.94972539276772483</v>
      </c>
      <c r="H53">
        <f>VLOOKUP($A53,inc_pop_den!$C:$I,5,0)</f>
        <v>58794.715265591047</v>
      </c>
      <c r="BA53" t="str">
        <f t="shared" si="2"/>
        <v>High Den</v>
      </c>
      <c r="BB53">
        <f t="shared" si="3"/>
        <v>-5.1582396418015826E-2</v>
      </c>
      <c r="BC53">
        <f t="shared" si="3"/>
        <v>10.981807253412063</v>
      </c>
      <c r="BD53">
        <f t="shared" si="4"/>
        <v>120.6000905510938</v>
      </c>
    </row>
    <row r="54" spans="1:56" x14ac:dyDescent="0.25">
      <c r="A54" t="str">
        <f t="shared" si="0"/>
        <v>Region 4_2019</v>
      </c>
      <c r="B54" t="s">
        <v>690</v>
      </c>
      <c r="C54">
        <v>2019</v>
      </c>
      <c r="D54">
        <v>7767348.0500000007</v>
      </c>
      <c r="E54">
        <f>VLOOKUP($A54,inc_pop_den!$C:$H,3,0)</f>
        <v>7948214</v>
      </c>
      <c r="F54" t="str">
        <f>VLOOKUP($A54,inc_pop_den!$C:$I,7,0)</f>
        <v>High Den</v>
      </c>
      <c r="G54">
        <f t="shared" si="1"/>
        <v>0.97724445391128134</v>
      </c>
      <c r="H54">
        <f>VLOOKUP($A54,inc_pop_den!$C:$I,5,0)</f>
        <v>60097.330920983419</v>
      </c>
      <c r="BA54" t="str">
        <f t="shared" si="2"/>
        <v>High Den</v>
      </c>
      <c r="BB54">
        <f t="shared" si="3"/>
        <v>-2.301844952468432E-2</v>
      </c>
      <c r="BC54">
        <f t="shared" si="3"/>
        <v>11.003720708904563</v>
      </c>
      <c r="BD54">
        <f t="shared" si="4"/>
        <v>121.08186943957514</v>
      </c>
    </row>
    <row r="55" spans="1:56" x14ac:dyDescent="0.25">
      <c r="A55" t="str">
        <f t="shared" si="0"/>
        <v>Region 4_2020</v>
      </c>
      <c r="B55" t="s">
        <v>690</v>
      </c>
      <c r="C55">
        <v>2020</v>
      </c>
      <c r="D55">
        <v>7668851.5499999998</v>
      </c>
      <c r="E55">
        <f>VLOOKUP($A55,inc_pop_den!$C:$H,3,0)</f>
        <v>8070861</v>
      </c>
      <c r="F55" t="str">
        <f>VLOOKUP($A55,inc_pop_den!$C:$I,7,0)</f>
        <v>High Den</v>
      </c>
      <c r="G55">
        <f t="shared" si="1"/>
        <v>0.95019001690154248</v>
      </c>
      <c r="H55">
        <f>VLOOKUP($A55,inc_pop_den!$C:$I,5,0)</f>
        <v>61165.314580439437</v>
      </c>
      <c r="BA55" t="str">
        <f t="shared" si="2"/>
        <v>High Den</v>
      </c>
      <c r="BB55">
        <f t="shared" si="3"/>
        <v>-5.1093296597344587E-2</v>
      </c>
      <c r="BC55">
        <f t="shared" si="3"/>
        <v>11.02133555261239</v>
      </c>
      <c r="BD55">
        <f t="shared" si="4"/>
        <v>121.46983736327786</v>
      </c>
    </row>
    <row r="56" spans="1:56" x14ac:dyDescent="0.25">
      <c r="A56" t="str">
        <f t="shared" si="0"/>
        <v>Region 4_2021</v>
      </c>
      <c r="B56" t="s">
        <v>690</v>
      </c>
      <c r="C56">
        <v>2021</v>
      </c>
      <c r="D56">
        <v>7715894.0699999994</v>
      </c>
      <c r="E56">
        <f>VLOOKUP($A56,inc_pop_den!$C:$H,3,0)</f>
        <v>8177110</v>
      </c>
      <c r="F56" t="str">
        <f>VLOOKUP($A56,inc_pop_den!$C:$I,7,0)</f>
        <v>High Den</v>
      </c>
      <c r="G56">
        <f t="shared" si="1"/>
        <v>0.94359670714959187</v>
      </c>
      <c r="H56">
        <f>VLOOKUP($A56,inc_pop_den!$C:$I,5,0)</f>
        <v>63034.997310752806</v>
      </c>
      <c r="BA56" t="str">
        <f t="shared" si="2"/>
        <v>High Den</v>
      </c>
      <c r="BB56">
        <f t="shared" si="3"/>
        <v>-5.8056421122370389E-2</v>
      </c>
      <c r="BC56">
        <f t="shared" si="3"/>
        <v>11.051445364002607</v>
      </c>
      <c r="BD56">
        <f t="shared" si="4"/>
        <v>122.13444463353471</v>
      </c>
    </row>
    <row r="57" spans="1:56" x14ac:dyDescent="0.25">
      <c r="A57" t="str">
        <f t="shared" si="0"/>
        <v>Region 5_2017</v>
      </c>
      <c r="B57" t="s">
        <v>621</v>
      </c>
      <c r="C57">
        <v>2017</v>
      </c>
      <c r="D57">
        <v>770172.37</v>
      </c>
      <c r="E57">
        <f>VLOOKUP($A57,inc_pop_den!$C:$H,3,0)</f>
        <v>1134335</v>
      </c>
      <c r="F57" t="str">
        <f>VLOOKUP($A57,inc_pop_den!$C:$I,7,0)</f>
        <v>Mid Den</v>
      </c>
      <c r="G57">
        <f t="shared" si="1"/>
        <v>0.67896377172528399</v>
      </c>
      <c r="H57">
        <f>VLOOKUP($A57,inc_pop_den!$C:$I,5,0)</f>
        <v>44071.315368874792</v>
      </c>
      <c r="BA57" t="str">
        <f t="shared" si="2"/>
        <v>Mid Den</v>
      </c>
      <c r="BB57">
        <f t="shared" si="3"/>
        <v>-0.38718750818520281</v>
      </c>
      <c r="BC57">
        <f t="shared" si="3"/>
        <v>10.693564404653484</v>
      </c>
      <c r="BD57">
        <f t="shared" si="4"/>
        <v>114.35231967647204</v>
      </c>
    </row>
    <row r="58" spans="1:56" x14ac:dyDescent="0.25">
      <c r="A58" t="str">
        <f t="shared" si="0"/>
        <v>Region 5_2018</v>
      </c>
      <c r="B58" t="s">
        <v>621</v>
      </c>
      <c r="C58">
        <v>2018</v>
      </c>
      <c r="D58">
        <v>797023.47</v>
      </c>
      <c r="E58">
        <f>VLOOKUP($A58,inc_pop_den!$C:$H,3,0)</f>
        <v>1140544</v>
      </c>
      <c r="F58" t="str">
        <f>VLOOKUP($A58,inc_pop_den!$C:$I,7,0)</f>
        <v>Mid Den</v>
      </c>
      <c r="G58">
        <f t="shared" si="1"/>
        <v>0.6988099275433477</v>
      </c>
      <c r="H58">
        <f>VLOOKUP($A58,inc_pop_den!$C:$I,5,0)</f>
        <v>44815.502372644449</v>
      </c>
      <c r="BA58" t="str">
        <f t="shared" si="2"/>
        <v>Mid Den</v>
      </c>
      <c r="BB58">
        <f t="shared" si="3"/>
        <v>-0.35837649426426438</v>
      </c>
      <c r="BC58">
        <f t="shared" si="3"/>
        <v>10.710309393650409</v>
      </c>
      <c r="BD58">
        <f t="shared" si="4"/>
        <v>114.71072730771618</v>
      </c>
    </row>
    <row r="59" spans="1:56" x14ac:dyDescent="0.25">
      <c r="A59" t="str">
        <f t="shared" si="0"/>
        <v>Region 5_2019</v>
      </c>
      <c r="B59" t="s">
        <v>621</v>
      </c>
      <c r="C59">
        <v>2019</v>
      </c>
      <c r="D59">
        <v>835340.06</v>
      </c>
      <c r="E59">
        <f>VLOOKUP($A59,inc_pop_den!$C:$H,3,0)</f>
        <v>1145561</v>
      </c>
      <c r="F59" t="str">
        <f>VLOOKUP($A59,inc_pop_den!$C:$I,7,0)</f>
        <v>Mid Den</v>
      </c>
      <c r="G59">
        <f t="shared" si="1"/>
        <v>0.72919736268954694</v>
      </c>
      <c r="H59">
        <f>VLOOKUP($A59,inc_pop_den!$C:$I,5,0)</f>
        <v>45516.516646176337</v>
      </c>
      <c r="BA59" t="str">
        <f t="shared" si="2"/>
        <v>Mid Den</v>
      </c>
      <c r="BB59">
        <f t="shared" si="3"/>
        <v>-0.31581085290174082</v>
      </c>
      <c r="BC59">
        <f t="shared" si="3"/>
        <v>10.725830542281983</v>
      </c>
      <c r="BD59">
        <f t="shared" si="4"/>
        <v>115.04344082174902</v>
      </c>
    </row>
    <row r="60" spans="1:56" x14ac:dyDescent="0.25">
      <c r="A60" t="str">
        <f t="shared" si="0"/>
        <v>Region 5_2020</v>
      </c>
      <c r="B60" t="s">
        <v>621</v>
      </c>
      <c r="C60">
        <v>2020</v>
      </c>
      <c r="D60">
        <v>865415.55999999994</v>
      </c>
      <c r="E60">
        <f>VLOOKUP($A60,inc_pop_den!$C:$H,3,0)</f>
        <v>1150975</v>
      </c>
      <c r="F60" t="str">
        <f>VLOOKUP($A60,inc_pop_den!$C:$I,7,0)</f>
        <v>High Den</v>
      </c>
      <c r="G60">
        <f t="shared" si="1"/>
        <v>0.7518977910032798</v>
      </c>
      <c r="H60">
        <f>VLOOKUP($A60,inc_pop_den!$C:$I,5,0)</f>
        <v>46737.627663502681</v>
      </c>
      <c r="BA60" t="str">
        <f t="shared" si="2"/>
        <v>High Den</v>
      </c>
      <c r="BB60">
        <f t="shared" si="3"/>
        <v>-0.28515488048878634</v>
      </c>
      <c r="BC60">
        <f t="shared" si="3"/>
        <v>10.752304850782098</v>
      </c>
      <c r="BD60">
        <f t="shared" si="4"/>
        <v>115.61205960415224</v>
      </c>
    </row>
    <row r="61" spans="1:56" x14ac:dyDescent="0.25">
      <c r="A61" t="str">
        <f t="shared" si="0"/>
        <v>Region 5_2021</v>
      </c>
      <c r="B61" t="s">
        <v>621</v>
      </c>
      <c r="C61">
        <v>2021</v>
      </c>
      <c r="D61">
        <v>911388.7</v>
      </c>
      <c r="E61">
        <f>VLOOKUP($A61,inc_pop_den!$C:$H,3,0)</f>
        <v>1161889</v>
      </c>
      <c r="F61" t="str">
        <f>VLOOKUP($A61,inc_pop_den!$C:$I,7,0)</f>
        <v>High Den</v>
      </c>
      <c r="G61">
        <f t="shared" si="1"/>
        <v>0.7844025548051492</v>
      </c>
      <c r="H61">
        <f>VLOOKUP($A61,inc_pop_den!$C:$I,5,0)</f>
        <v>48075.765522428868</v>
      </c>
      <c r="BA61" t="str">
        <f t="shared" si="2"/>
        <v>High Den</v>
      </c>
      <c r="BB61">
        <f t="shared" si="3"/>
        <v>-0.24283292764695669</v>
      </c>
      <c r="BC61">
        <f t="shared" si="3"/>
        <v>10.780533493833664</v>
      </c>
      <c r="BD61">
        <f t="shared" si="4"/>
        <v>116.21990241166947</v>
      </c>
    </row>
    <row r="62" spans="1:56" x14ac:dyDescent="0.25">
      <c r="A62" t="str">
        <f t="shared" si="0"/>
        <v>Region 6_2017</v>
      </c>
      <c r="B62" t="s">
        <v>663</v>
      </c>
      <c r="C62">
        <v>2017</v>
      </c>
      <c r="D62">
        <v>413280.35500000004</v>
      </c>
      <c r="E62">
        <f>VLOOKUP($A62,inc_pop_den!$C:$H,3,0)</f>
        <v>877514</v>
      </c>
      <c r="F62" t="str">
        <f>VLOOKUP($A62,inc_pop_den!$C:$I,7,0)</f>
        <v>Mid Den</v>
      </c>
      <c r="G62">
        <f t="shared" si="1"/>
        <v>0.47096724952536373</v>
      </c>
      <c r="H62">
        <f>VLOOKUP($A62,inc_pop_den!$C:$I,5,0)</f>
        <v>36325.79807029834</v>
      </c>
      <c r="BA62" t="str">
        <f t="shared" si="2"/>
        <v>Mid Den</v>
      </c>
      <c r="BB62">
        <f t="shared" si="3"/>
        <v>-0.75296672129973929</v>
      </c>
      <c r="BC62">
        <f t="shared" si="3"/>
        <v>10.500283458473763</v>
      </c>
      <c r="BD62">
        <f t="shared" si="4"/>
        <v>110.25595270829774</v>
      </c>
    </row>
    <row r="63" spans="1:56" x14ac:dyDescent="0.25">
      <c r="A63" t="str">
        <f t="shared" si="0"/>
        <v>Region 6_2018</v>
      </c>
      <c r="B63" t="s">
        <v>663</v>
      </c>
      <c r="C63">
        <v>2018</v>
      </c>
      <c r="D63">
        <v>392375.75699999998</v>
      </c>
      <c r="E63">
        <f>VLOOKUP($A63,inc_pop_den!$C:$H,3,0)</f>
        <v>878947</v>
      </c>
      <c r="F63" t="str">
        <f>VLOOKUP($A63,inc_pop_den!$C:$I,7,0)</f>
        <v>Mid Den</v>
      </c>
      <c r="G63">
        <f t="shared" si="1"/>
        <v>0.44641571903652894</v>
      </c>
      <c r="H63">
        <f>VLOOKUP($A63,inc_pop_den!$C:$I,5,0)</f>
        <v>37029.425301983472</v>
      </c>
      <c r="BA63" t="str">
        <f t="shared" si="2"/>
        <v>Mid Den</v>
      </c>
      <c r="BB63">
        <f t="shared" si="3"/>
        <v>-0.80650465563954521</v>
      </c>
      <c r="BC63">
        <f t="shared" si="3"/>
        <v>10.519468153992017</v>
      </c>
      <c r="BD63">
        <f t="shared" si="4"/>
        <v>110.65921024285221</v>
      </c>
    </row>
    <row r="64" spans="1:56" x14ac:dyDescent="0.25">
      <c r="A64" t="str">
        <f t="shared" si="0"/>
        <v>Region 6_2019</v>
      </c>
      <c r="B64" t="s">
        <v>663</v>
      </c>
      <c r="C64">
        <v>2019</v>
      </c>
      <c r="D64">
        <v>412239.49699999997</v>
      </c>
      <c r="E64">
        <f>VLOOKUP($A64,inc_pop_den!$C:$H,3,0)</f>
        <v>882968</v>
      </c>
      <c r="F64" t="str">
        <f>VLOOKUP($A64,inc_pop_den!$C:$I,7,0)</f>
        <v>Mid Den</v>
      </c>
      <c r="G64">
        <f t="shared" si="1"/>
        <v>0.46687931725725051</v>
      </c>
      <c r="H64">
        <f>VLOOKUP($A64,inc_pop_den!$C:$I,5,0)</f>
        <v>38606.126618443624</v>
      </c>
      <c r="BA64" t="str">
        <f t="shared" si="2"/>
        <v>Mid Den</v>
      </c>
      <c r="BB64">
        <f t="shared" si="3"/>
        <v>-0.7616844760004593</v>
      </c>
      <c r="BC64">
        <f t="shared" si="3"/>
        <v>10.561166263543194</v>
      </c>
      <c r="BD64">
        <f t="shared" si="4"/>
        <v>111.53823284620292</v>
      </c>
    </row>
    <row r="65" spans="1:56" x14ac:dyDescent="0.25">
      <c r="A65" t="str">
        <f t="shared" si="0"/>
        <v>Region 6_2020</v>
      </c>
      <c r="B65" t="s">
        <v>663</v>
      </c>
      <c r="C65">
        <v>2020</v>
      </c>
      <c r="D65">
        <v>439037.592</v>
      </c>
      <c r="E65">
        <f>VLOOKUP($A65,inc_pop_den!$C:$H,3,0)</f>
        <v>889128</v>
      </c>
      <c r="F65" t="str">
        <f>VLOOKUP($A65,inc_pop_den!$C:$I,7,0)</f>
        <v>Mid Den</v>
      </c>
      <c r="G65">
        <f t="shared" si="1"/>
        <v>0.49378446297945855</v>
      </c>
      <c r="H65">
        <f>VLOOKUP($A65,inc_pop_den!$C:$I,5,0)</f>
        <v>41040.08871613536</v>
      </c>
      <c r="BA65" t="str">
        <f t="shared" si="2"/>
        <v>Mid Den</v>
      </c>
      <c r="BB65">
        <f t="shared" si="3"/>
        <v>-0.70565616676319343</v>
      </c>
      <c r="BC65">
        <f t="shared" si="3"/>
        <v>10.62230464154152</v>
      </c>
      <c r="BD65">
        <f t="shared" si="4"/>
        <v>112.83335589771453</v>
      </c>
    </row>
    <row r="66" spans="1:56" x14ac:dyDescent="0.25">
      <c r="A66" t="str">
        <f t="shared" si="0"/>
        <v>Region 6_2021</v>
      </c>
      <c r="B66" t="s">
        <v>663</v>
      </c>
      <c r="C66">
        <v>2021</v>
      </c>
      <c r="D66">
        <v>461022.56300000002</v>
      </c>
      <c r="E66">
        <f>VLOOKUP($A66,inc_pop_den!$C:$H,3,0)</f>
        <v>890966</v>
      </c>
      <c r="F66" t="str">
        <f>VLOOKUP($A66,inc_pop_den!$C:$I,7,0)</f>
        <v>Mid Den</v>
      </c>
      <c r="G66">
        <f t="shared" si="1"/>
        <v>0.51744125252815487</v>
      </c>
      <c r="H66">
        <f>VLOOKUP($A66,inc_pop_den!$C:$I,5,0)</f>
        <v>42384.192181773928</v>
      </c>
      <c r="BA66" t="str">
        <f t="shared" si="2"/>
        <v>Mid Den</v>
      </c>
      <c r="BB66">
        <f t="shared" si="3"/>
        <v>-0.65885928197141197</v>
      </c>
      <c r="BC66">
        <f t="shared" si="3"/>
        <v>10.654530745801635</v>
      </c>
      <c r="BD66">
        <f t="shared" si="4"/>
        <v>113.51902541323234</v>
      </c>
    </row>
    <row r="67" spans="1:56" x14ac:dyDescent="0.25">
      <c r="A67" t="str">
        <f t="shared" ref="A67:A81" si="5">B67&amp;"_"&amp;C67</f>
        <v>Region 7_2017</v>
      </c>
      <c r="B67" t="s">
        <v>624</v>
      </c>
      <c r="C67">
        <v>2017</v>
      </c>
      <c r="D67">
        <v>432415.96</v>
      </c>
      <c r="E67">
        <f>VLOOKUP($A67,inc_pop_den!$C:$H,3,0)</f>
        <v>464414</v>
      </c>
      <c r="F67" t="str">
        <f>VLOOKUP($A67,inc_pop_den!$C:$I,7,0)</f>
        <v>Low Den</v>
      </c>
      <c r="G67">
        <f t="shared" ref="G67:G81" si="6">D67/E67</f>
        <v>0.93110018216505108</v>
      </c>
      <c r="H67">
        <f>VLOOKUP($A67,inc_pop_den!$C:$I,5,0)</f>
        <v>72220.47701489563</v>
      </c>
      <c r="BA67" t="str">
        <f t="shared" ref="BA67:BA81" si="7">F67</f>
        <v>Low Den</v>
      </c>
      <c r="BB67">
        <f t="shared" ref="BB67:BC81" si="8">LN(G67)</f>
        <v>-7.1388400442681119E-2</v>
      </c>
      <c r="BC67">
        <f t="shared" si="8"/>
        <v>11.187478899834499</v>
      </c>
      <c r="BD67">
        <f t="shared" ref="BD67:BD81" si="9">BC67^2</f>
        <v>125.15968413424213</v>
      </c>
    </row>
    <row r="68" spans="1:56" x14ac:dyDescent="0.25">
      <c r="A68" t="str">
        <f t="shared" si="5"/>
        <v>Region 7_2018</v>
      </c>
      <c r="B68" t="s">
        <v>624</v>
      </c>
      <c r="C68">
        <v>2018</v>
      </c>
      <c r="D68">
        <v>461246.83499999996</v>
      </c>
      <c r="E68">
        <f>VLOOKUP($A68,inc_pop_den!$C:$H,3,0)</f>
        <v>476272</v>
      </c>
      <c r="F68" t="str">
        <f>VLOOKUP($A68,inc_pop_den!$C:$I,7,0)</f>
        <v>Low Den</v>
      </c>
      <c r="G68">
        <f t="shared" si="6"/>
        <v>0.96845255442268274</v>
      </c>
      <c r="H68">
        <f>VLOOKUP($A68,inc_pop_den!$C:$I,5,0)</f>
        <v>82643.830102980064</v>
      </c>
      <c r="BA68" t="str">
        <f t="shared" si="7"/>
        <v>Low Den</v>
      </c>
      <c r="BB68">
        <f t="shared" si="8"/>
        <v>-3.2055786057135334E-2</v>
      </c>
      <c r="BC68">
        <f t="shared" si="8"/>
        <v>11.32229544956102</v>
      </c>
      <c r="BD68">
        <f t="shared" si="9"/>
        <v>128.19437424715017</v>
      </c>
    </row>
    <row r="69" spans="1:56" x14ac:dyDescent="0.25">
      <c r="A69" t="str">
        <f t="shared" si="5"/>
        <v>Region 7_2019</v>
      </c>
      <c r="B69" t="s">
        <v>624</v>
      </c>
      <c r="C69">
        <v>2019</v>
      </c>
      <c r="D69">
        <v>508980.81400000001</v>
      </c>
      <c r="E69">
        <f>VLOOKUP($A69,inc_pop_den!$C:$H,3,0)</f>
        <v>486686</v>
      </c>
      <c r="F69" t="str">
        <f>VLOOKUP($A69,inc_pop_den!$C:$I,7,0)</f>
        <v>Low Den</v>
      </c>
      <c r="G69">
        <f t="shared" si="6"/>
        <v>1.045809441816695</v>
      </c>
      <c r="H69">
        <f>VLOOKUP($A69,inc_pop_den!$C:$I,5,0)</f>
        <v>84967.92679077803</v>
      </c>
      <c r="BA69" t="str">
        <f t="shared" si="7"/>
        <v>Low Den</v>
      </c>
      <c r="BB69">
        <f t="shared" si="8"/>
        <v>4.4791171050792958E-2</v>
      </c>
      <c r="BC69">
        <f t="shared" si="8"/>
        <v>11.35002913239167</v>
      </c>
      <c r="BD69">
        <f t="shared" si="9"/>
        <v>128.82316130613961</v>
      </c>
    </row>
    <row r="70" spans="1:56" x14ac:dyDescent="0.25">
      <c r="A70" t="str">
        <f t="shared" si="5"/>
        <v>Region 7_2020</v>
      </c>
      <c r="B70" t="s">
        <v>624</v>
      </c>
      <c r="C70">
        <v>2020</v>
      </c>
      <c r="D70">
        <v>442085.41800000012</v>
      </c>
      <c r="E70">
        <f>VLOOKUP($A70,inc_pop_den!$C:$H,3,0)</f>
        <v>488317</v>
      </c>
      <c r="F70" t="str">
        <f>VLOOKUP($A70,inc_pop_den!$C:$I,7,0)</f>
        <v>Low Den</v>
      </c>
      <c r="G70">
        <f t="shared" si="6"/>
        <v>0.905324651814293</v>
      </c>
      <c r="H70">
        <f>VLOOKUP($A70,inc_pop_den!$C:$I,5,0)</f>
        <v>70605.993647569107</v>
      </c>
      <c r="BA70" t="str">
        <f t="shared" si="7"/>
        <v>Low Den</v>
      </c>
      <c r="BB70">
        <f t="shared" si="8"/>
        <v>-9.9461668324383273E-2</v>
      </c>
      <c r="BC70">
        <f t="shared" si="8"/>
        <v>11.164870315735804</v>
      </c>
      <c r="BD70">
        <f t="shared" si="9"/>
        <v>124.65432916719851</v>
      </c>
    </row>
    <row r="71" spans="1:56" x14ac:dyDescent="0.25">
      <c r="A71" t="str">
        <f t="shared" si="5"/>
        <v>Region 7_2021</v>
      </c>
      <c r="B71" t="s">
        <v>624</v>
      </c>
      <c r="C71">
        <v>2021</v>
      </c>
      <c r="D71">
        <v>395690.11800000007</v>
      </c>
      <c r="E71">
        <f>VLOOKUP($A71,inc_pop_den!$C:$H,3,0)</f>
        <v>479853</v>
      </c>
      <c r="F71" t="str">
        <f>VLOOKUP($A71,inc_pop_den!$C:$I,7,0)</f>
        <v>Low Den</v>
      </c>
      <c r="G71">
        <f t="shared" si="6"/>
        <v>0.82460694837794091</v>
      </c>
      <c r="H71">
        <f>VLOOKUP($A71,inc_pop_den!$C:$I,5,0)</f>
        <v>75649.890989364649</v>
      </c>
      <c r="BA71" t="str">
        <f t="shared" si="7"/>
        <v>Low Den</v>
      </c>
      <c r="BB71">
        <f t="shared" si="8"/>
        <v>-0.19284843238303825</v>
      </c>
      <c r="BC71">
        <f t="shared" si="8"/>
        <v>11.233871278228877</v>
      </c>
      <c r="BD71">
        <f t="shared" si="9"/>
        <v>126.1998638958157</v>
      </c>
    </row>
    <row r="72" spans="1:56" x14ac:dyDescent="0.25">
      <c r="A72" t="str">
        <f t="shared" si="5"/>
        <v>Region 8_2017</v>
      </c>
      <c r="B72" t="s">
        <v>686</v>
      </c>
      <c r="C72">
        <v>2017</v>
      </c>
      <c r="D72">
        <v>155481.49</v>
      </c>
      <c r="E72">
        <f>VLOOKUP($A72,inc_pop_den!$C:$H,3,0)</f>
        <v>157789</v>
      </c>
      <c r="F72" t="str">
        <f>VLOOKUP($A72,inc_pop_den!$C:$I,7,0)</f>
        <v>Low Den</v>
      </c>
      <c r="G72">
        <f t="shared" si="6"/>
        <v>0.98537597677911637</v>
      </c>
      <c r="H72">
        <f>VLOOKUP($A72,inc_pop_den!$C:$I,5,0)</f>
        <v>46855.153070631633</v>
      </c>
      <c r="BA72" t="str">
        <f t="shared" si="7"/>
        <v>Low Den</v>
      </c>
      <c r="BB72">
        <f t="shared" si="8"/>
        <v>-1.4732008326020356E-2</v>
      </c>
      <c r="BC72">
        <f t="shared" si="8"/>
        <v>10.754816272453274</v>
      </c>
      <c r="BD72">
        <f t="shared" si="9"/>
        <v>115.66607305422573</v>
      </c>
    </row>
    <row r="73" spans="1:56" x14ac:dyDescent="0.25">
      <c r="A73" t="str">
        <f t="shared" si="5"/>
        <v>Region 8_2018</v>
      </c>
      <c r="B73" t="s">
        <v>686</v>
      </c>
      <c r="C73">
        <v>2018</v>
      </c>
      <c r="D73">
        <v>148596.43</v>
      </c>
      <c r="E73">
        <f>VLOOKUP($A73,inc_pop_den!$C:$H,3,0)</f>
        <v>158066</v>
      </c>
      <c r="F73" t="str">
        <f>VLOOKUP($A73,inc_pop_den!$C:$I,7,0)</f>
        <v>Low Den</v>
      </c>
      <c r="G73">
        <f t="shared" si="6"/>
        <v>0.94009103792086846</v>
      </c>
      <c r="H73">
        <f>VLOOKUP($A73,inc_pop_den!$C:$I,5,0)</f>
        <v>49950.927617442467</v>
      </c>
      <c r="BA73" t="str">
        <f t="shared" si="7"/>
        <v>Low Den</v>
      </c>
      <c r="BB73">
        <f t="shared" si="8"/>
        <v>-6.1778559555647039E-2</v>
      </c>
      <c r="BC73">
        <f t="shared" si="8"/>
        <v>10.81879635482403</v>
      </c>
      <c r="BD73">
        <f t="shared" si="9"/>
        <v>117.04635456715373</v>
      </c>
    </row>
    <row r="74" spans="1:56" x14ac:dyDescent="0.25">
      <c r="A74" t="str">
        <f t="shared" si="5"/>
        <v>Region 8_2019</v>
      </c>
      <c r="B74" t="s">
        <v>686</v>
      </c>
      <c r="C74">
        <v>2019</v>
      </c>
      <c r="D74">
        <v>151664.68</v>
      </c>
      <c r="E74">
        <f>VLOOKUP($A74,inc_pop_den!$C:$H,3,0)</f>
        <v>159280</v>
      </c>
      <c r="F74" t="str">
        <f>VLOOKUP($A74,inc_pop_den!$C:$I,7,0)</f>
        <v>Low Den</v>
      </c>
      <c r="G74">
        <f t="shared" si="6"/>
        <v>0.95218910095429432</v>
      </c>
      <c r="H74">
        <f>VLOOKUP($A74,inc_pop_den!$C:$I,5,0)</f>
        <v>51968.935782233137</v>
      </c>
      <c r="BA74" t="str">
        <f t="shared" si="7"/>
        <v>Low Den</v>
      </c>
      <c r="BB74">
        <f t="shared" si="8"/>
        <v>-4.8991628459990388E-2</v>
      </c>
      <c r="BC74">
        <f t="shared" si="8"/>
        <v>10.858401430252568</v>
      </c>
      <c r="BD74">
        <f t="shared" si="9"/>
        <v>117.90488162051102</v>
      </c>
    </row>
    <row r="75" spans="1:56" x14ac:dyDescent="0.25">
      <c r="A75" t="str">
        <f t="shared" si="5"/>
        <v>Region 8_2020</v>
      </c>
      <c r="B75" t="s">
        <v>686</v>
      </c>
      <c r="C75">
        <v>2020</v>
      </c>
      <c r="D75">
        <v>166789.39000000001</v>
      </c>
      <c r="E75">
        <f>VLOOKUP($A75,inc_pop_den!$C:$H,3,0)</f>
        <v>159699</v>
      </c>
      <c r="F75" t="str">
        <f>VLOOKUP($A75,inc_pop_den!$C:$I,7,0)</f>
        <v>Low Den</v>
      </c>
      <c r="G75">
        <f t="shared" si="6"/>
        <v>1.0443984621068385</v>
      </c>
      <c r="H75">
        <f>VLOOKUP($A75,inc_pop_den!$C:$I,5,0)</f>
        <v>54530.911276839557</v>
      </c>
      <c r="BA75" t="str">
        <f t="shared" si="7"/>
        <v>Low Den</v>
      </c>
      <c r="BB75">
        <f t="shared" si="8"/>
        <v>4.344108532819313E-2</v>
      </c>
      <c r="BC75">
        <f t="shared" si="8"/>
        <v>10.906522999257449</v>
      </c>
      <c r="BD75">
        <f t="shared" si="9"/>
        <v>118.9522439333317</v>
      </c>
    </row>
    <row r="76" spans="1:56" x14ac:dyDescent="0.25">
      <c r="A76" t="str">
        <f t="shared" si="5"/>
        <v>Region 8_2021</v>
      </c>
      <c r="B76" t="s">
        <v>686</v>
      </c>
      <c r="C76">
        <v>2021</v>
      </c>
      <c r="D76">
        <v>152434.56</v>
      </c>
      <c r="E76">
        <f>VLOOKUP($A76,inc_pop_den!$C:$H,3,0)</f>
        <v>158898</v>
      </c>
      <c r="F76" t="str">
        <f>VLOOKUP($A76,inc_pop_den!$C:$I,7,0)</f>
        <v>Low Den</v>
      </c>
      <c r="G76">
        <f t="shared" si="6"/>
        <v>0.95932333950081183</v>
      </c>
      <c r="H76">
        <f>VLOOKUP($A76,inc_pop_den!$C:$I,5,0)</f>
        <v>55793.935163095513</v>
      </c>
      <c r="BA76" t="str">
        <f t="shared" si="7"/>
        <v>Low Den</v>
      </c>
      <c r="BB76">
        <f t="shared" si="8"/>
        <v>-4.1527097733764527E-2</v>
      </c>
      <c r="BC76">
        <f t="shared" si="8"/>
        <v>10.929420453628929</v>
      </c>
      <c r="BD76">
        <f t="shared" si="9"/>
        <v>119.45223145220237</v>
      </c>
    </row>
    <row r="77" spans="1:56" x14ac:dyDescent="0.25">
      <c r="A77" t="str">
        <f t="shared" si="5"/>
        <v>Region 9_2017</v>
      </c>
      <c r="B77" t="s">
        <v>653</v>
      </c>
      <c r="C77">
        <v>2017</v>
      </c>
      <c r="D77">
        <v>961997.97</v>
      </c>
      <c r="E77">
        <f>VLOOKUP($A77,inc_pop_den!$C:$H,3,0)</f>
        <v>1208996</v>
      </c>
      <c r="F77" t="str">
        <f>VLOOKUP($A77,inc_pop_den!$C:$I,7,0)</f>
        <v>Mid Den</v>
      </c>
      <c r="G77">
        <f t="shared" si="6"/>
        <v>0.7956998782460819</v>
      </c>
      <c r="H77">
        <f>VLOOKUP($A77,inc_pop_den!$C:$I,5,0)</f>
        <v>42235.700313085872</v>
      </c>
      <c r="BA77" t="str">
        <f t="shared" si="7"/>
        <v>Mid Den</v>
      </c>
      <c r="BB77">
        <f t="shared" si="8"/>
        <v>-0.22853320161351207</v>
      </c>
      <c r="BC77">
        <f t="shared" si="8"/>
        <v>10.65102112136865</v>
      </c>
      <c r="BD77">
        <f t="shared" si="9"/>
        <v>113.4442509278411</v>
      </c>
    </row>
    <row r="78" spans="1:56" x14ac:dyDescent="0.25">
      <c r="A78" t="str">
        <f t="shared" si="5"/>
        <v>Region 9_2018</v>
      </c>
      <c r="B78" t="s">
        <v>653</v>
      </c>
      <c r="C78">
        <v>2018</v>
      </c>
      <c r="D78">
        <v>1009961.22</v>
      </c>
      <c r="E78">
        <f>VLOOKUP($A78,inc_pop_den!$C:$H,3,0)</f>
        <v>1224476</v>
      </c>
      <c r="F78" t="str">
        <f>VLOOKUP($A78,inc_pop_den!$C:$I,7,0)</f>
        <v>Mid Den</v>
      </c>
      <c r="G78">
        <f t="shared" si="6"/>
        <v>0.82481095587010278</v>
      </c>
      <c r="H78">
        <f>VLOOKUP($A78,inc_pop_den!$C:$I,5,0)</f>
        <v>42753.276711465071</v>
      </c>
      <c r="BA78" t="str">
        <f t="shared" si="7"/>
        <v>Mid Den</v>
      </c>
      <c r="BB78">
        <f t="shared" si="8"/>
        <v>-0.19260106330492074</v>
      </c>
      <c r="BC78">
        <f t="shared" si="8"/>
        <v>10.663201119648987</v>
      </c>
      <c r="BD78">
        <f t="shared" si="9"/>
        <v>113.7038581180834</v>
      </c>
    </row>
    <row r="79" spans="1:56" x14ac:dyDescent="0.25">
      <c r="A79" t="str">
        <f t="shared" si="5"/>
        <v>Region 9_2019</v>
      </c>
      <c r="B79" t="s">
        <v>653</v>
      </c>
      <c r="C79">
        <v>2019</v>
      </c>
      <c r="D79">
        <v>1049464.43</v>
      </c>
      <c r="E79">
        <f>VLOOKUP($A79,inc_pop_den!$C:$H,3,0)</f>
        <v>1242264</v>
      </c>
      <c r="F79" t="str">
        <f>VLOOKUP($A79,inc_pop_den!$C:$I,7,0)</f>
        <v>Mid Den</v>
      </c>
      <c r="G79">
        <f t="shared" si="6"/>
        <v>0.84479984125757479</v>
      </c>
      <c r="H79">
        <f>VLOOKUP($A79,inc_pop_den!$C:$I,5,0)</f>
        <v>43111.709882738891</v>
      </c>
      <c r="BA79" t="str">
        <f t="shared" si="7"/>
        <v>Mid Den</v>
      </c>
      <c r="BB79">
        <f t="shared" si="8"/>
        <v>-0.16865555393549056</v>
      </c>
      <c r="BC79">
        <f t="shared" si="8"/>
        <v>10.671549930205343</v>
      </c>
      <c r="BD79">
        <f t="shared" si="9"/>
        <v>113.88197791286565</v>
      </c>
    </row>
    <row r="80" spans="1:56" x14ac:dyDescent="0.25">
      <c r="A80" t="str">
        <f t="shared" si="5"/>
        <v>Region 9_2020</v>
      </c>
      <c r="B80" t="s">
        <v>653</v>
      </c>
      <c r="C80">
        <v>2020</v>
      </c>
      <c r="D80">
        <v>1074107.0099999998</v>
      </c>
      <c r="E80">
        <f>VLOOKUP($A80,inc_pop_den!$C:$H,3,0)</f>
        <v>1256930</v>
      </c>
      <c r="F80" t="str">
        <f>VLOOKUP($A80,inc_pop_den!$C:$I,7,0)</f>
        <v>Mid Den</v>
      </c>
      <c r="G80">
        <f t="shared" si="6"/>
        <v>0.85454799392169789</v>
      </c>
      <c r="H80">
        <f>VLOOKUP($A80,inc_pop_den!$C:$I,5,0)</f>
        <v>45221.768117556268</v>
      </c>
      <c r="BA80" t="str">
        <f t="shared" si="7"/>
        <v>Mid Den</v>
      </c>
      <c r="BB80">
        <f t="shared" si="8"/>
        <v>-0.15718261191633004</v>
      </c>
      <c r="BC80">
        <f t="shared" si="8"/>
        <v>10.719333845411576</v>
      </c>
      <c r="BD80">
        <f t="shared" si="9"/>
        <v>114.90411808938613</v>
      </c>
    </row>
    <row r="81" spans="1:56" x14ac:dyDescent="0.25">
      <c r="A81" t="str">
        <f t="shared" si="5"/>
        <v>Region 9_2021</v>
      </c>
      <c r="B81" t="s">
        <v>653</v>
      </c>
      <c r="C81">
        <v>2021</v>
      </c>
      <c r="D81">
        <v>1228549.4800000002</v>
      </c>
      <c r="E81">
        <f>VLOOKUP($A81,inc_pop_den!$C:$H,3,0)</f>
        <v>1274934</v>
      </c>
      <c r="F81" t="str">
        <f>VLOOKUP($A81,inc_pop_den!$C:$I,7,0)</f>
        <v>Mid Den</v>
      </c>
      <c r="G81">
        <f t="shared" si="6"/>
        <v>0.96361810101542533</v>
      </c>
      <c r="H81">
        <f>VLOOKUP($A81,inc_pop_den!$C:$I,5,0)</f>
        <v>46318.330801798082</v>
      </c>
      <c r="BA81" t="str">
        <f t="shared" si="7"/>
        <v>Mid Den</v>
      </c>
      <c r="BB81">
        <f t="shared" si="8"/>
        <v>-3.706022363638168E-2</v>
      </c>
      <c r="BC81">
        <f t="shared" si="8"/>
        <v>10.743293075366944</v>
      </c>
      <c r="BD81">
        <f t="shared" si="9"/>
        <v>115.41834610322734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DF5E-C99B-4203-8366-1090B0F052F1}">
  <dimension ref="A1:X81"/>
  <sheetViews>
    <sheetView workbookViewId="0">
      <selection activeCell="F11" sqref="F11:M16"/>
    </sheetView>
  </sheetViews>
  <sheetFormatPr defaultColWidth="8.85546875" defaultRowHeight="15" x14ac:dyDescent="0.25"/>
  <cols>
    <col min="7" max="7" width="11.140625" customWidth="1"/>
    <col min="8" max="8" width="9.140625" customWidth="1"/>
    <col min="9" max="9" width="7.85546875" customWidth="1"/>
    <col min="10" max="10" width="8.7109375" customWidth="1"/>
    <col min="11" max="11" width="8.5703125" customWidth="1"/>
    <col min="12" max="12" width="13" customWidth="1"/>
    <col min="13" max="13" width="10.42578125" customWidth="1"/>
    <col min="19" max="19" width="18.85546875" bestFit="1" customWidth="1"/>
  </cols>
  <sheetData>
    <row r="1" spans="1:24" x14ac:dyDescent="0.25">
      <c r="A1" t="s">
        <v>1379</v>
      </c>
      <c r="B1" t="s">
        <v>1380</v>
      </c>
      <c r="C1" t="s">
        <v>1381</v>
      </c>
    </row>
    <row r="2" spans="1:24" x14ac:dyDescent="0.25">
      <c r="A2" t="s">
        <v>1384</v>
      </c>
      <c r="B2">
        <v>0.96131147203288581</v>
      </c>
      <c r="C2">
        <v>49169.113370343024</v>
      </c>
      <c r="F2" s="14" t="s">
        <v>1417</v>
      </c>
      <c r="G2" s="14"/>
      <c r="H2" s="14"/>
      <c r="I2" s="14"/>
    </row>
    <row r="3" spans="1:24" x14ac:dyDescent="0.25">
      <c r="A3" t="s">
        <v>1384</v>
      </c>
      <c r="B3">
        <v>0.97310730133488987</v>
      </c>
      <c r="C3">
        <v>48630.652816287809</v>
      </c>
    </row>
    <row r="4" spans="1:24" x14ac:dyDescent="0.25">
      <c r="A4" t="s">
        <v>1384</v>
      </c>
      <c r="B4">
        <v>0.82456469336869687</v>
      </c>
      <c r="C4">
        <v>50947.704589050038</v>
      </c>
      <c r="F4" s="17" t="s">
        <v>1379</v>
      </c>
      <c r="G4" s="17" t="s">
        <v>1387</v>
      </c>
      <c r="H4" s="17" t="s">
        <v>1418</v>
      </c>
      <c r="I4" s="17" t="s">
        <v>1388</v>
      </c>
      <c r="J4" s="17" t="s">
        <v>1419</v>
      </c>
      <c r="K4" s="17" t="s">
        <v>1420</v>
      </c>
      <c r="L4" s="17" t="s">
        <v>1421</v>
      </c>
      <c r="M4" s="17" t="s">
        <v>1422</v>
      </c>
      <c r="N4" s="17" t="s">
        <v>1538</v>
      </c>
      <c r="O4" s="17"/>
    </row>
    <row r="5" spans="1:24" x14ac:dyDescent="0.25">
      <c r="A5" t="s">
        <v>1384</v>
      </c>
      <c r="B5">
        <v>0.83014906007803291</v>
      </c>
      <c r="C5">
        <v>53623.496551199649</v>
      </c>
      <c r="F5" s="20" t="s">
        <v>1383</v>
      </c>
      <c r="G5">
        <f>COUNT($B2:B81)</f>
        <v>80</v>
      </c>
      <c r="H5" s="12">
        <f>MIN($B$2:$B$81)</f>
        <v>0.44641571903652894</v>
      </c>
      <c r="I5" s="12">
        <f>AVERAGE(B2:B81)</f>
        <v>0.83031657060942055</v>
      </c>
      <c r="J5" s="12">
        <f>MEDIAN(B2:B81)</f>
        <v>0.84365437081094252</v>
      </c>
      <c r="K5" s="12">
        <f>MAX(B2:B81)</f>
        <v>1.0991592151115199</v>
      </c>
      <c r="L5" s="12">
        <f>_xlfn.STDEV.S(B2:B81)</f>
        <v>0.14962115158624528</v>
      </c>
      <c r="M5" s="12">
        <f>CORREL(B2:B81,C2:C81)</f>
        <v>0.25862071371166934</v>
      </c>
      <c r="N5" s="12">
        <v>0.27196674343146315</v>
      </c>
    </row>
    <row r="6" spans="1:24" x14ac:dyDescent="0.25">
      <c r="A6" t="s">
        <v>1384</v>
      </c>
      <c r="B6">
        <v>0.84250890036431014</v>
      </c>
      <c r="C6">
        <v>55484.859667504665</v>
      </c>
      <c r="F6" s="21" t="s">
        <v>1384</v>
      </c>
      <c r="G6">
        <f t="array" ref="G6">COUNT(IF($A:$A=$F6,$B:$B))</f>
        <v>26</v>
      </c>
      <c r="H6" s="12">
        <f t="array" ref="H6">MIN(IF($A:$A=$F6,$B:$B))</f>
        <v>0.82456469336869687</v>
      </c>
      <c r="I6" s="12">
        <f t="array" ref="I6">AVERAGE(IF($A:$A=$F6,$B:$B))</f>
        <v>0.93706694582882122</v>
      </c>
      <c r="J6" s="12">
        <f t="array" ref="J6">MEDIAN(IF($A:$A=$F6,$B:$B))</f>
        <v>0.95148473805041789</v>
      </c>
      <c r="K6" s="12">
        <f t="array" ref="K6">MAX(IF($A:$A=$F6,$B:$B))</f>
        <v>1.045809441816695</v>
      </c>
      <c r="L6" s="12">
        <f t="array" ref="L6">_xlfn.STDEV.S(IF($A:$A=$F6,$B:$B))</f>
        <v>6.5703988717199485E-2</v>
      </c>
      <c r="M6" s="12" cm="1">
        <f t="array" ref="M6">CORREL(IF($A:$A=F6,B:B),IF(A:A=F6,C:C))</f>
        <v>-9.8867247780191209E-3</v>
      </c>
      <c r="N6" s="12">
        <v>-5.1808975537027006E-2</v>
      </c>
    </row>
    <row r="7" spans="1:24" x14ac:dyDescent="0.25">
      <c r="A7" t="s">
        <v>1385</v>
      </c>
      <c r="B7">
        <v>0.9096044797406222</v>
      </c>
      <c r="C7">
        <v>42578.369545276182</v>
      </c>
      <c r="F7" s="21" t="s">
        <v>1385</v>
      </c>
      <c r="G7">
        <f t="array" ref="G7">COUNT(IF($A:$A=$F7,$B:$B))</f>
        <v>27</v>
      </c>
      <c r="H7" s="12">
        <f t="array" ref="H7">MIN(IF($A:$A=$F7,$B:$B))</f>
        <v>0.44641571903652894</v>
      </c>
      <c r="I7" s="12">
        <f t="array" ref="I7">AVERAGE(IF($A:$A=$F7,$B:$B))</f>
        <v>0.78892807335113657</v>
      </c>
      <c r="J7" s="12">
        <f t="array" ref="J7">MEDIAN(IF($A:$A=$F7,$B:$B))</f>
        <v>0.83068332578979531</v>
      </c>
      <c r="K7" s="12">
        <f t="array" ref="K7">MAX(IF($A:$A=$F7,$B:$B))</f>
        <v>1.0991592151115199</v>
      </c>
      <c r="L7" s="12">
        <f t="array" ref="L7">_xlfn.STDEV.S(IF($A:$A=$F7,$B:$B))</f>
        <v>0.17734511299709005</v>
      </c>
      <c r="M7" s="12">
        <f t="array" ref="M7">CORREL(IF($A:$A=F7,B:B),IF(A:A=F7,C:C))</f>
        <v>0.63109802933699477</v>
      </c>
      <c r="N7" s="12">
        <v>0.70296703434752261</v>
      </c>
    </row>
    <row r="8" spans="1:24" x14ac:dyDescent="0.25">
      <c r="A8" t="s">
        <v>1385</v>
      </c>
      <c r="B8">
        <v>1.0991592151115199</v>
      </c>
      <c r="C8">
        <v>42967.35388369501</v>
      </c>
      <c r="F8" s="21" t="s">
        <v>1386</v>
      </c>
      <c r="G8">
        <f t="array" ref="G8">COUNT(IF($A:$A=$F8,$B:$B))</f>
        <v>27</v>
      </c>
      <c r="H8" s="12">
        <f t="array" ref="H8">MIN(IF($A:$A=$F8,$B:$B))</f>
        <v>0.58570957531494905</v>
      </c>
      <c r="I8" s="12">
        <f t="array" ref="I8">AVERAGE(IF($A:$A=$F8,$B:$B))</f>
        <v>0.76890841024902179</v>
      </c>
      <c r="J8" s="12">
        <f t="array" ref="J8">MEDIAN(IF($A:$A=$F8,$B:$B))</f>
        <v>0.7518977910032798</v>
      </c>
      <c r="K8" s="12">
        <f t="array" ref="K8">MAX(IF($A:$A=$F8,$B:$B))</f>
        <v>0.99087827556597541</v>
      </c>
      <c r="L8" s="12">
        <f t="array" ref="L8">_xlfn.STDEV.S(IF($A:$A=$F8,$B:$B))</f>
        <v>0.12380503701424658</v>
      </c>
      <c r="M8" s="12">
        <f t="array" ref="M8">CORREL(IF($A:$A=F8,B:B),IF(A:A=F8,C:C))</f>
        <v>0.39862264169818379</v>
      </c>
      <c r="N8" s="12">
        <v>0.33889691099385411</v>
      </c>
    </row>
    <row r="9" spans="1:24" x14ac:dyDescent="0.25">
      <c r="A9" t="s">
        <v>1385</v>
      </c>
      <c r="B9">
        <v>0.90750238136135797</v>
      </c>
      <c r="C9">
        <v>43633.292891614408</v>
      </c>
      <c r="H9" s="12"/>
      <c r="I9" s="12"/>
      <c r="J9" s="12"/>
      <c r="K9" s="12"/>
      <c r="L9" s="12"/>
      <c r="M9" s="12"/>
    </row>
    <row r="10" spans="1:24" x14ac:dyDescent="0.25">
      <c r="A10" t="s">
        <v>1385</v>
      </c>
      <c r="B10">
        <v>0.99557675685245373</v>
      </c>
      <c r="C10">
        <v>45312.989460968092</v>
      </c>
    </row>
    <row r="11" spans="1:24" x14ac:dyDescent="0.25">
      <c r="A11" t="s">
        <v>1385</v>
      </c>
      <c r="B11">
        <v>1.0293968278304799</v>
      </c>
      <c r="C11">
        <v>45968.219738842061</v>
      </c>
      <c r="F11" t="s">
        <v>1447</v>
      </c>
      <c r="O11" t="s">
        <v>1454</v>
      </c>
      <c r="P11">
        <v>0.05</v>
      </c>
      <c r="Q11">
        <v>2.5000000000000001E-2</v>
      </c>
      <c r="R11">
        <v>5.0000000000000001E-3</v>
      </c>
    </row>
    <row r="12" spans="1:24" x14ac:dyDescent="0.25">
      <c r="A12" t="s">
        <v>1386</v>
      </c>
      <c r="B12">
        <v>0.82313456909767047</v>
      </c>
      <c r="C12">
        <v>59848.367360753939</v>
      </c>
      <c r="F12" t="s">
        <v>1379</v>
      </c>
      <c r="G12" t="s">
        <v>1388</v>
      </c>
      <c r="H12" t="s">
        <v>1448</v>
      </c>
      <c r="I12" t="s">
        <v>1449</v>
      </c>
      <c r="J12" t="s">
        <v>1450</v>
      </c>
      <c r="K12" t="s">
        <v>1451</v>
      </c>
      <c r="L12" t="s">
        <v>1452</v>
      </c>
      <c r="M12" t="s">
        <v>1453</v>
      </c>
      <c r="P12" t="s">
        <v>1458</v>
      </c>
      <c r="Q12" t="s">
        <v>1459</v>
      </c>
      <c r="R12" t="s">
        <v>1460</v>
      </c>
      <c r="T12" t="s">
        <v>1455</v>
      </c>
      <c r="U12" t="s">
        <v>1456</v>
      </c>
      <c r="V12" t="s">
        <v>1457</v>
      </c>
    </row>
    <row r="13" spans="1:24" x14ac:dyDescent="0.25">
      <c r="A13" t="s">
        <v>1386</v>
      </c>
      <c r="B13">
        <v>0.80665474734783871</v>
      </c>
      <c r="C13">
        <v>61999.536490768376</v>
      </c>
      <c r="F13" t="s">
        <v>1383</v>
      </c>
      <c r="G13" s="12">
        <v>0.83031657060942055</v>
      </c>
      <c r="H13" s="12">
        <f>$G13-P13</f>
        <v>0.80247471054433939</v>
      </c>
      <c r="I13" s="12">
        <f t="shared" ref="I13:J13" si="0">$G13-Q13</f>
        <v>0.79702001437472259</v>
      </c>
      <c r="J13" s="12">
        <f t="shared" si="0"/>
        <v>0.78616253258925806</v>
      </c>
      <c r="K13" s="12">
        <f>$G13+P13</f>
        <v>0.8581584306745017</v>
      </c>
      <c r="L13" s="12">
        <f t="shared" ref="L13:M13" si="1">$G13+Q13</f>
        <v>0.86361312684411851</v>
      </c>
      <c r="M13" s="12">
        <f t="shared" si="1"/>
        <v>0.87447060862958303</v>
      </c>
      <c r="O13" t="s">
        <v>1383</v>
      </c>
      <c r="P13">
        <f>($T13/SQRT($U13))*V13</f>
        <v>2.7841860065081131E-2</v>
      </c>
      <c r="Q13">
        <f t="shared" ref="Q13:R16" si="2">($T13/SQRT($U13))*W13</f>
        <v>3.3296556234697912E-2</v>
      </c>
      <c r="R13">
        <f t="shared" si="2"/>
        <v>4.4154038020162475E-2</v>
      </c>
      <c r="T13" s="12">
        <f>L5</f>
        <v>0.14962115158624528</v>
      </c>
      <c r="U13">
        <f>G5</f>
        <v>80</v>
      </c>
      <c r="V13">
        <f>_xlfn.T.INV(1-P$11,$U13-1)</f>
        <v>1.6643714091365507</v>
      </c>
      <c r="W13">
        <f>_xlfn.T.INV(1-Q$11,$U13-1)</f>
        <v>1.9904502102301287</v>
      </c>
      <c r="X13">
        <f>_xlfn.T.INV(1-R$11,$U13-1)</f>
        <v>2.6395046274532201</v>
      </c>
    </row>
    <row r="14" spans="1:24" x14ac:dyDescent="0.25">
      <c r="A14" t="s">
        <v>1386</v>
      </c>
      <c r="B14">
        <v>0.81229288695106849</v>
      </c>
      <c r="C14">
        <v>63842.272330026542</v>
      </c>
      <c r="F14" t="s">
        <v>1384</v>
      </c>
      <c r="G14" s="12">
        <v>0.93706694582882122</v>
      </c>
      <c r="H14" s="12">
        <f t="shared" ref="H14:H16" si="3">$G14-P14</f>
        <v>0.91505650617360901</v>
      </c>
      <c r="I14" s="12">
        <f t="shared" ref="I14:I16" si="4">$G14-Q14</f>
        <v>0.9105285304585703</v>
      </c>
      <c r="J14" s="12">
        <f t="shared" ref="J14:J16" si="5">$G14-R14</f>
        <v>0.90114912853796247</v>
      </c>
      <c r="K14" s="12">
        <f t="shared" ref="K14:K16" si="6">$G14+P14</f>
        <v>0.95907738548403343</v>
      </c>
      <c r="L14" s="12">
        <f t="shared" ref="L14:L16" si="7">$G14+Q14</f>
        <v>0.96360536119907214</v>
      </c>
      <c r="M14" s="12">
        <f t="shared" ref="M14:M16" si="8">$G14+R14</f>
        <v>0.97298476311967996</v>
      </c>
      <c r="O14" t="s">
        <v>1434</v>
      </c>
      <c r="P14">
        <f t="shared" ref="P14:P16" si="9">($T14/SQRT($U14))*V14</f>
        <v>2.2010439655212169E-2</v>
      </c>
      <c r="Q14">
        <f t="shared" si="2"/>
        <v>2.6538415370250902E-2</v>
      </c>
      <c r="R14">
        <f t="shared" si="2"/>
        <v>3.59178172908588E-2</v>
      </c>
      <c r="T14" s="12">
        <f t="shared" ref="T14:T16" si="10">L6</f>
        <v>6.5703988717199485E-2</v>
      </c>
      <c r="U14">
        <f t="shared" ref="U14:U16" si="11">G6</f>
        <v>26</v>
      </c>
      <c r="V14">
        <f t="shared" ref="V14:X16" si="12">_xlfn.T.INV(1-P$11,$U14-1)</f>
        <v>1.7081407612518986</v>
      </c>
      <c r="W14">
        <f t="shared" si="12"/>
        <v>2.0595385527532977</v>
      </c>
      <c r="X14">
        <f t="shared" si="12"/>
        <v>2.7874358136769692</v>
      </c>
    </row>
    <row r="15" spans="1:24" x14ac:dyDescent="0.25">
      <c r="A15" t="s">
        <v>1386</v>
      </c>
      <c r="B15">
        <v>0.81691703470526222</v>
      </c>
      <c r="C15">
        <v>64548.279840838957</v>
      </c>
      <c r="F15" t="s">
        <v>1385</v>
      </c>
      <c r="G15" s="12">
        <v>0.78892807335113657</v>
      </c>
      <c r="H15" s="12">
        <f t="shared" si="3"/>
        <v>0.73071519233791782</v>
      </c>
      <c r="I15" s="12">
        <f t="shared" si="4"/>
        <v>0.71877268318745069</v>
      </c>
      <c r="J15" s="12">
        <f t="shared" si="5"/>
        <v>0.69409031594691517</v>
      </c>
      <c r="K15" s="12">
        <f t="shared" si="6"/>
        <v>0.84714095436435533</v>
      </c>
      <c r="L15" s="12">
        <f t="shared" si="7"/>
        <v>0.85908346351482245</v>
      </c>
      <c r="M15" s="12">
        <f t="shared" si="8"/>
        <v>0.88376583075535797</v>
      </c>
      <c r="O15" t="s">
        <v>1436</v>
      </c>
      <c r="P15">
        <f t="shared" si="9"/>
        <v>5.8212881013218809E-2</v>
      </c>
      <c r="Q15">
        <f t="shared" si="2"/>
        <v>7.0155390163685882E-2</v>
      </c>
      <c r="R15">
        <f t="shared" si="2"/>
        <v>9.4837757404221401E-2</v>
      </c>
      <c r="T15" s="12">
        <f t="shared" si="10"/>
        <v>0.17734511299709005</v>
      </c>
      <c r="U15">
        <f t="shared" si="11"/>
        <v>27</v>
      </c>
      <c r="V15">
        <f t="shared" si="12"/>
        <v>1.7056179197592722</v>
      </c>
      <c r="W15">
        <f t="shared" si="12"/>
        <v>2.0555294386428731</v>
      </c>
      <c r="X15">
        <f t="shared" si="12"/>
        <v>2.7787145333296825</v>
      </c>
    </row>
    <row r="16" spans="1:24" x14ac:dyDescent="0.25">
      <c r="A16" t="s">
        <v>1386</v>
      </c>
      <c r="B16">
        <v>0.89645316229754601</v>
      </c>
      <c r="C16">
        <v>67653.010663745095</v>
      </c>
      <c r="F16" t="s">
        <v>1386</v>
      </c>
      <c r="G16" s="12">
        <v>0.76890841024902179</v>
      </c>
      <c r="H16" s="12">
        <f t="shared" si="3"/>
        <v>0.72826986224084667</v>
      </c>
      <c r="I16" s="12">
        <f t="shared" si="4"/>
        <v>0.71993276874878742</v>
      </c>
      <c r="J16" s="12">
        <f t="shared" si="5"/>
        <v>0.70270195061023588</v>
      </c>
      <c r="K16" s="12">
        <f t="shared" si="6"/>
        <v>0.80954695825719691</v>
      </c>
      <c r="L16" s="12">
        <f t="shared" si="7"/>
        <v>0.81788405174925616</v>
      </c>
      <c r="M16" s="12">
        <f t="shared" si="8"/>
        <v>0.8351148698878077</v>
      </c>
      <c r="O16" t="s">
        <v>1435</v>
      </c>
      <c r="P16">
        <f t="shared" si="9"/>
        <v>4.0638548008175124E-2</v>
      </c>
      <c r="Q16">
        <f t="shared" si="2"/>
        <v>4.8975641500234389E-2</v>
      </c>
      <c r="R16">
        <f t="shared" si="2"/>
        <v>6.6206459638785908E-2</v>
      </c>
      <c r="T16" s="12">
        <f t="shared" si="10"/>
        <v>0.12380503701424658</v>
      </c>
      <c r="U16">
        <f t="shared" si="11"/>
        <v>27</v>
      </c>
      <c r="V16">
        <f t="shared" si="12"/>
        <v>1.7056179197592722</v>
      </c>
      <c r="W16">
        <f t="shared" si="12"/>
        <v>2.0555294386428731</v>
      </c>
      <c r="X16">
        <f t="shared" si="12"/>
        <v>2.7787145333296825</v>
      </c>
    </row>
    <row r="17" spans="1:3" x14ac:dyDescent="0.25">
      <c r="A17" t="s">
        <v>1386</v>
      </c>
      <c r="B17">
        <v>0.74393593046378947</v>
      </c>
      <c r="C17">
        <v>57455.652095955404</v>
      </c>
    </row>
    <row r="18" spans="1:3" x14ac:dyDescent="0.25">
      <c r="A18" t="s">
        <v>1386</v>
      </c>
      <c r="B18">
        <v>0.80232293194961446</v>
      </c>
      <c r="C18">
        <v>59243.148495623878</v>
      </c>
    </row>
    <row r="19" spans="1:3" x14ac:dyDescent="0.25">
      <c r="A19" t="s">
        <v>1386</v>
      </c>
      <c r="B19">
        <v>0.70847724008947577</v>
      </c>
      <c r="C19">
        <v>60420.58320314021</v>
      </c>
    </row>
    <row r="20" spans="1:3" x14ac:dyDescent="0.25">
      <c r="A20" t="s">
        <v>1386</v>
      </c>
      <c r="B20">
        <v>0.66420471988704544</v>
      </c>
      <c r="C20">
        <v>60665.396588799587</v>
      </c>
    </row>
    <row r="21" spans="1:3" x14ac:dyDescent="0.25">
      <c r="A21" t="s">
        <v>1386</v>
      </c>
      <c r="B21">
        <v>0.67668243829190799</v>
      </c>
      <c r="C21">
        <v>61464.365951807777</v>
      </c>
    </row>
    <row r="22" spans="1:3" x14ac:dyDescent="0.25">
      <c r="A22" t="s">
        <v>1386</v>
      </c>
      <c r="B22">
        <v>0.59272337202460712</v>
      </c>
      <c r="C22">
        <v>48906.145577904113</v>
      </c>
    </row>
    <row r="23" spans="1:3" x14ac:dyDescent="0.25">
      <c r="A23" t="s">
        <v>1386</v>
      </c>
      <c r="B23">
        <v>0.58570957531494905</v>
      </c>
      <c r="C23">
        <v>50140.165465440819</v>
      </c>
    </row>
    <row r="24" spans="1:3" x14ac:dyDescent="0.25">
      <c r="A24" t="s">
        <v>1386</v>
      </c>
      <c r="B24">
        <v>0.59927574702797526</v>
      </c>
      <c r="C24">
        <v>49702.803817214022</v>
      </c>
    </row>
    <row r="25" spans="1:3" x14ac:dyDescent="0.25">
      <c r="A25" t="s">
        <v>1386</v>
      </c>
      <c r="B25">
        <v>0.59639727461570413</v>
      </c>
      <c r="C25">
        <v>50558.070442690303</v>
      </c>
    </row>
    <row r="26" spans="1:3" x14ac:dyDescent="0.25">
      <c r="A26" t="s">
        <v>1386</v>
      </c>
      <c r="B26">
        <v>0.63033084477681867</v>
      </c>
      <c r="C26">
        <v>51635.958097190807</v>
      </c>
    </row>
    <row r="27" spans="1:3" x14ac:dyDescent="0.25">
      <c r="A27" t="s">
        <v>1385</v>
      </c>
      <c r="B27">
        <v>0.74765985311219851</v>
      </c>
      <c r="C27">
        <v>45394.972967151334</v>
      </c>
    </row>
    <row r="28" spans="1:3" x14ac:dyDescent="0.25">
      <c r="A28" t="s">
        <v>1385</v>
      </c>
      <c r="B28">
        <v>0.94171912667068891</v>
      </c>
      <c r="C28">
        <v>46308.53834582695</v>
      </c>
    </row>
    <row r="29" spans="1:3" x14ac:dyDescent="0.25">
      <c r="A29" t="s">
        <v>1385</v>
      </c>
      <c r="B29">
        <v>0.83068332578979531</v>
      </c>
      <c r="C29">
        <v>48422.438781995021</v>
      </c>
    </row>
    <row r="30" spans="1:3" x14ac:dyDescent="0.25">
      <c r="A30" t="s">
        <v>1385</v>
      </c>
      <c r="B30">
        <v>0.81881908416994753</v>
      </c>
      <c r="C30">
        <v>49493.721270606307</v>
      </c>
    </row>
    <row r="31" spans="1:3" x14ac:dyDescent="0.25">
      <c r="A31" t="s">
        <v>1385</v>
      </c>
      <c r="B31">
        <v>0.85124912867882008</v>
      </c>
      <c r="C31">
        <v>50977.923330932637</v>
      </c>
    </row>
    <row r="32" spans="1:3" x14ac:dyDescent="0.25">
      <c r="A32" t="s">
        <v>1386</v>
      </c>
      <c r="B32">
        <v>0.68967624471305267</v>
      </c>
      <c r="C32">
        <v>28162.492587795216</v>
      </c>
    </row>
    <row r="33" spans="1:22" x14ac:dyDescent="0.25">
      <c r="A33" t="s">
        <v>1386</v>
      </c>
      <c r="B33">
        <v>0.70525718709339769</v>
      </c>
      <c r="C33">
        <v>28600.62691342154</v>
      </c>
      <c r="O33" t="s">
        <v>1462</v>
      </c>
      <c r="R33" t="s">
        <v>1454</v>
      </c>
    </row>
    <row r="34" spans="1:22" x14ac:dyDescent="0.25">
      <c r="A34" t="s">
        <v>1386</v>
      </c>
      <c r="B34">
        <v>0.7271028605063844</v>
      </c>
      <c r="C34">
        <v>29307.706454083233</v>
      </c>
      <c r="F34" t="s">
        <v>1461</v>
      </c>
      <c r="O34">
        <v>0.95</v>
      </c>
      <c r="P34">
        <v>0.97499999999999998</v>
      </c>
      <c r="Q34">
        <v>0.995</v>
      </c>
      <c r="R34">
        <v>0.05</v>
      </c>
      <c r="S34">
        <v>2.5000000000000001E-2</v>
      </c>
      <c r="T34">
        <v>5.0000000000000001E-3</v>
      </c>
    </row>
    <row r="35" spans="1:22" x14ac:dyDescent="0.25">
      <c r="A35" t="s">
        <v>1386</v>
      </c>
      <c r="B35">
        <v>0.71683257951068369</v>
      </c>
      <c r="C35">
        <v>32266.419177133233</v>
      </c>
      <c r="O35" t="s">
        <v>1463</v>
      </c>
      <c r="P35" t="s">
        <v>1464</v>
      </c>
      <c r="Q35" t="s">
        <v>1465</v>
      </c>
      <c r="R35" t="s">
        <v>1466</v>
      </c>
      <c r="S35" t="s">
        <v>1467</v>
      </c>
      <c r="T35" t="s">
        <v>1468</v>
      </c>
      <c r="V35" t="s">
        <v>1456</v>
      </c>
    </row>
    <row r="36" spans="1:22" x14ac:dyDescent="0.25">
      <c r="A36" t="s">
        <v>1386</v>
      </c>
      <c r="B36">
        <v>0.81821053795425447</v>
      </c>
      <c r="C36">
        <v>34062.01350864071</v>
      </c>
      <c r="F36" t="s">
        <v>1379</v>
      </c>
      <c r="G36" t="s">
        <v>1469</v>
      </c>
      <c r="H36" t="s">
        <v>1448</v>
      </c>
      <c r="I36" t="s">
        <v>1449</v>
      </c>
      <c r="J36" t="s">
        <v>1450</v>
      </c>
      <c r="K36" t="s">
        <v>1451</v>
      </c>
      <c r="L36" t="s">
        <v>1452</v>
      </c>
      <c r="M36" t="s">
        <v>1453</v>
      </c>
      <c r="O36">
        <f>_xlfn.CHISQ.INV(O$34,$V36-1)</f>
        <v>100.74861874635032</v>
      </c>
      <c r="P36">
        <f t="shared" ref="P36:R39" si="13">_xlfn.CHISQ.INV(P$34,$V36-1)</f>
        <v>105.47275001830305</v>
      </c>
      <c r="Q36">
        <f t="shared" si="13"/>
        <v>115.11661468929169</v>
      </c>
      <c r="R36">
        <f>_xlfn.CHISQ.INV(R$34,$V36-1)</f>
        <v>59.522293887502251</v>
      </c>
      <c r="S36">
        <f t="shared" ref="S36:T39" si="14">_xlfn.CHISQ.INV(S$34,$V36-1)</f>
        <v>56.308902833439667</v>
      </c>
      <c r="T36">
        <f t="shared" si="14"/>
        <v>50.376116087630564</v>
      </c>
      <c r="V36">
        <v>80</v>
      </c>
    </row>
    <row r="37" spans="1:22" x14ac:dyDescent="0.25">
      <c r="A37" t="s">
        <v>1384</v>
      </c>
      <c r="B37">
        <v>0.95078037514654157</v>
      </c>
      <c r="C37">
        <v>33898.355478431542</v>
      </c>
      <c r="F37" t="s">
        <v>1383</v>
      </c>
      <c r="G37" s="12">
        <f>$L5^2</f>
        <v>2.2386489001994189E-2</v>
      </c>
      <c r="H37" s="12">
        <f>$G37*($V36-1)/O36</f>
        <v>1.7553914417527506E-2</v>
      </c>
      <c r="I37" s="12">
        <f t="shared" ref="I37:M37" si="15">$G37*($V36-1)/P36</f>
        <v>1.6767673459264516E-2</v>
      </c>
      <c r="J37" s="12">
        <f t="shared" si="15"/>
        <v>1.5362965944845946E-2</v>
      </c>
      <c r="K37" s="12">
        <f t="shared" si="15"/>
        <v>2.971210475355815E-2</v>
      </c>
      <c r="L37" s="12">
        <f t="shared" si="15"/>
        <v>3.1407691184976848E-2</v>
      </c>
      <c r="M37" s="12">
        <f t="shared" si="15"/>
        <v>3.5106569710160511E-2</v>
      </c>
      <c r="O37">
        <f t="shared" ref="O37:O39" si="16">_xlfn.CHISQ.INV(O$34,$V37-1)</f>
        <v>37.652484133482773</v>
      </c>
      <c r="P37">
        <f t="shared" si="13"/>
        <v>40.646469120275199</v>
      </c>
      <c r="Q37">
        <f t="shared" si="13"/>
        <v>46.927890160080736</v>
      </c>
      <c r="R37">
        <f t="shared" si="13"/>
        <v>14.611407639483307</v>
      </c>
      <c r="S37">
        <f t="shared" si="14"/>
        <v>13.119720024937784</v>
      </c>
      <c r="T37">
        <f t="shared" si="14"/>
        <v>10.519652112024692</v>
      </c>
      <c r="V37">
        <v>26</v>
      </c>
    </row>
    <row r="38" spans="1:22" x14ac:dyDescent="0.25">
      <c r="A38" t="s">
        <v>1384</v>
      </c>
      <c r="B38">
        <v>0.92043993760483378</v>
      </c>
      <c r="C38">
        <v>34766.122078423672</v>
      </c>
      <c r="F38" t="s">
        <v>1384</v>
      </c>
      <c r="G38" s="12">
        <f t="shared" ref="G38:G40" si="17">$L6^2</f>
        <v>4.3170141333498772E-3</v>
      </c>
      <c r="H38" s="12">
        <f t="shared" ref="H38:H40" si="18">$G38*($V37-1)/O37</f>
        <v>2.8663541282200142E-3</v>
      </c>
      <c r="I38" s="12">
        <f t="shared" ref="I38:I40" si="19">$G38*($V37-1)/P37</f>
        <v>2.6552208757515865E-3</v>
      </c>
      <c r="J38" s="12">
        <f t="shared" ref="J38:J40" si="20">$G38*($V37-1)/Q37</f>
        <v>2.2998126053737178E-3</v>
      </c>
      <c r="K38" s="12">
        <f t="shared" ref="K38:K40" si="21">$G38*($V37-1)/R37</f>
        <v>7.3863761792606741E-3</v>
      </c>
      <c r="L38" s="12">
        <f t="shared" ref="L38:L40" si="22">$G38*($V37-1)/S37</f>
        <v>8.2261933279524184E-3</v>
      </c>
      <c r="M38" s="12">
        <f t="shared" ref="M38:M40" si="23">$G38*($V37-1)/T37</f>
        <v>1.025940327535934E-2</v>
      </c>
      <c r="O38">
        <f t="shared" si="16"/>
        <v>38.885138659830041</v>
      </c>
      <c r="P38">
        <f t="shared" si="13"/>
        <v>41.923170096353907</v>
      </c>
      <c r="Q38">
        <f t="shared" si="13"/>
        <v>48.289882332456827</v>
      </c>
      <c r="R38">
        <f t="shared" si="13"/>
        <v>15.379156583261738</v>
      </c>
      <c r="S38">
        <f t="shared" si="14"/>
        <v>13.843904982007608</v>
      </c>
      <c r="T38">
        <f t="shared" si="14"/>
        <v>11.16023740616415</v>
      </c>
      <c r="V38">
        <v>27</v>
      </c>
    </row>
    <row r="39" spans="1:22" x14ac:dyDescent="0.25">
      <c r="A39" t="s">
        <v>1384</v>
      </c>
      <c r="B39">
        <v>0.97351588060248362</v>
      </c>
      <c r="C39">
        <v>36137.14686589488</v>
      </c>
      <c r="F39" t="s">
        <v>1385</v>
      </c>
      <c r="G39" s="12">
        <f t="shared" si="17"/>
        <v>3.145128910395064E-2</v>
      </c>
      <c r="H39" s="12">
        <f t="shared" si="18"/>
        <v>2.102946125141298E-2</v>
      </c>
      <c r="I39" s="12">
        <f t="shared" si="19"/>
        <v>1.9505526772505107E-2</v>
      </c>
      <c r="J39" s="12">
        <f t="shared" si="20"/>
        <v>1.6933847779394932E-2</v>
      </c>
      <c r="K39" s="12">
        <f t="shared" si="21"/>
        <v>5.3171545024303601E-2</v>
      </c>
      <c r="L39" s="12">
        <f t="shared" si="22"/>
        <v>5.9068125486666768E-2</v>
      </c>
      <c r="M39" s="12">
        <f t="shared" si="23"/>
        <v>7.3272053894754677E-2</v>
      </c>
      <c r="O39">
        <f t="shared" si="16"/>
        <v>38.885138659830041</v>
      </c>
      <c r="P39">
        <f t="shared" si="13"/>
        <v>41.923170096353907</v>
      </c>
      <c r="Q39">
        <f t="shared" si="13"/>
        <v>48.289882332456827</v>
      </c>
      <c r="R39">
        <f t="shared" si="13"/>
        <v>15.379156583261738</v>
      </c>
      <c r="S39">
        <f t="shared" si="14"/>
        <v>13.843904982007608</v>
      </c>
      <c r="T39">
        <f t="shared" si="14"/>
        <v>11.16023740616415</v>
      </c>
      <c r="V39">
        <v>27</v>
      </c>
    </row>
    <row r="40" spans="1:22" x14ac:dyDescent="0.25">
      <c r="A40" t="s">
        <v>1384</v>
      </c>
      <c r="B40">
        <v>0.97000635391295142</v>
      </c>
      <c r="C40">
        <v>38154.284772965279</v>
      </c>
      <c r="F40" t="s">
        <v>1386</v>
      </c>
      <c r="G40" s="12">
        <f t="shared" si="17"/>
        <v>1.5327687190098966E-2</v>
      </c>
      <c r="H40" s="12">
        <f t="shared" si="18"/>
        <v>1.0248642043657174E-2</v>
      </c>
      <c r="I40" s="12">
        <f t="shared" si="19"/>
        <v>9.505957350711719E-3</v>
      </c>
      <c r="J40" s="12">
        <f t="shared" si="20"/>
        <v>8.2526576519470641E-3</v>
      </c>
      <c r="K40" s="12">
        <f t="shared" si="21"/>
        <v>2.5912985851012888E-2</v>
      </c>
      <c r="L40" s="12">
        <f t="shared" si="22"/>
        <v>2.8786665862017554E-2</v>
      </c>
      <c r="M40" s="12">
        <f t="shared" si="23"/>
        <v>3.5708905862742495E-2</v>
      </c>
    </row>
    <row r="41" spans="1:22" x14ac:dyDescent="0.25">
      <c r="A41" t="s">
        <v>1384</v>
      </c>
      <c r="B41">
        <v>1.0333880660833936</v>
      </c>
      <c r="C41">
        <v>39961.975639334341</v>
      </c>
    </row>
    <row r="42" spans="1:22" x14ac:dyDescent="0.25">
      <c r="A42" t="s">
        <v>1384</v>
      </c>
      <c r="B42">
        <v>0.82697733456333122</v>
      </c>
      <c r="C42">
        <v>42781.4792901459</v>
      </c>
    </row>
    <row r="43" spans="1:22" x14ac:dyDescent="0.25">
      <c r="A43" t="s">
        <v>1385</v>
      </c>
      <c r="B43">
        <v>0.81321441570076702</v>
      </c>
      <c r="C43">
        <v>43631.082787290557</v>
      </c>
    </row>
    <row r="44" spans="1:22" x14ac:dyDescent="0.25">
      <c r="A44" t="s">
        <v>1385</v>
      </c>
      <c r="B44">
        <v>0.85187419849456381</v>
      </c>
      <c r="C44">
        <v>45054.36087954729</v>
      </c>
    </row>
    <row r="45" spans="1:22" x14ac:dyDescent="0.25">
      <c r="A45" t="s">
        <v>1385</v>
      </c>
      <c r="B45">
        <v>0.84705862752765693</v>
      </c>
      <c r="C45">
        <v>46975.87749236988</v>
      </c>
    </row>
    <row r="46" spans="1:22" x14ac:dyDescent="0.25">
      <c r="A46" t="s">
        <v>1385</v>
      </c>
      <c r="B46">
        <v>0.87160472584399917</v>
      </c>
      <c r="C46">
        <v>48178.510386749011</v>
      </c>
    </row>
    <row r="47" spans="1:22" x14ac:dyDescent="0.25">
      <c r="A47" t="s">
        <v>1384</v>
      </c>
      <c r="B47">
        <v>0.91691534070828062</v>
      </c>
      <c r="C47">
        <v>44588.918430262027</v>
      </c>
    </row>
    <row r="48" spans="1:22" x14ac:dyDescent="0.25">
      <c r="A48" t="s">
        <v>1384</v>
      </c>
      <c r="B48">
        <v>0.87966177977890037</v>
      </c>
      <c r="C48">
        <v>46518.911482648677</v>
      </c>
    </row>
    <row r="49" spans="1:19" x14ac:dyDescent="0.25">
      <c r="A49" t="s">
        <v>1384</v>
      </c>
      <c r="B49">
        <v>0.94159110392945733</v>
      </c>
      <c r="C49">
        <v>46916.69297210253</v>
      </c>
    </row>
    <row r="50" spans="1:19" x14ac:dyDescent="0.25">
      <c r="A50" t="s">
        <v>1384</v>
      </c>
      <c r="B50">
        <v>0.98611877389755065</v>
      </c>
      <c r="C50">
        <v>48441.571228122535</v>
      </c>
    </row>
    <row r="51" spans="1:19" x14ac:dyDescent="0.25">
      <c r="A51" t="s">
        <v>1384</v>
      </c>
      <c r="B51">
        <v>0.97603252228422344</v>
      </c>
      <c r="C51">
        <v>50618.010853369793</v>
      </c>
    </row>
    <row r="52" spans="1:19" x14ac:dyDescent="0.25">
      <c r="A52" t="s">
        <v>1386</v>
      </c>
      <c r="B52">
        <v>0.99087827556597541</v>
      </c>
      <c r="C52">
        <v>57103.104785562376</v>
      </c>
    </row>
    <row r="53" spans="1:19" x14ac:dyDescent="0.25">
      <c r="A53" t="s">
        <v>1386</v>
      </c>
      <c r="B53">
        <v>0.94972539276772483</v>
      </c>
      <c r="C53">
        <v>58794.715265591047</v>
      </c>
    </row>
    <row r="54" spans="1:19" x14ac:dyDescent="0.25">
      <c r="A54" t="s">
        <v>1386</v>
      </c>
      <c r="B54">
        <v>0.97724445391128134</v>
      </c>
      <c r="C54">
        <v>60097.330920983419</v>
      </c>
      <c r="Q54" t="s">
        <v>1383</v>
      </c>
    </row>
    <row r="55" spans="1:19" x14ac:dyDescent="0.25">
      <c r="A55" t="s">
        <v>1386</v>
      </c>
      <c r="B55">
        <v>0.95019001690154248</v>
      </c>
      <c r="C55">
        <v>61165.314580439437</v>
      </c>
      <c r="Q55" t="s">
        <v>1388</v>
      </c>
      <c r="R55" t="s">
        <v>1456</v>
      </c>
      <c r="S55" t="s">
        <v>1455</v>
      </c>
    </row>
    <row r="56" spans="1:19" x14ac:dyDescent="0.25">
      <c r="A56" t="s">
        <v>1386</v>
      </c>
      <c r="B56">
        <v>0.94359670714959187</v>
      </c>
      <c r="C56">
        <v>63034.997310752806</v>
      </c>
      <c r="Q56">
        <v>0.83031657060942055</v>
      </c>
      <c r="R56">
        <v>80</v>
      </c>
      <c r="S56" s="12">
        <v>0.14962115158624528</v>
      </c>
    </row>
    <row r="57" spans="1:19" x14ac:dyDescent="0.25">
      <c r="A57" t="s">
        <v>1385</v>
      </c>
      <c r="B57">
        <v>0.67896377172528399</v>
      </c>
      <c r="C57">
        <v>44071.315368874792</v>
      </c>
      <c r="R57">
        <v>26</v>
      </c>
      <c r="S57" s="12">
        <v>6.5703988717199485E-2</v>
      </c>
    </row>
    <row r="58" spans="1:19" x14ac:dyDescent="0.25">
      <c r="A58" t="s">
        <v>1385</v>
      </c>
      <c r="B58">
        <v>0.6988099275433477</v>
      </c>
      <c r="C58">
        <v>44815.502372644449</v>
      </c>
      <c r="H58" t="s">
        <v>1471</v>
      </c>
      <c r="I58">
        <v>0.95</v>
      </c>
      <c r="K58">
        <v>0.97499999999999998</v>
      </c>
      <c r="M58">
        <v>0.995</v>
      </c>
      <c r="R58">
        <v>27</v>
      </c>
      <c r="S58" s="12">
        <v>0.17734511299709005</v>
      </c>
    </row>
    <row r="59" spans="1:19" x14ac:dyDescent="0.25">
      <c r="A59" t="s">
        <v>1385</v>
      </c>
      <c r="B59">
        <v>0.72919736268954694</v>
      </c>
      <c r="C59">
        <v>45516.516646176337</v>
      </c>
      <c r="F59" t="s">
        <v>1470</v>
      </c>
      <c r="R59">
        <v>27</v>
      </c>
      <c r="S59" s="12">
        <v>0.12380503701424658</v>
      </c>
    </row>
    <row r="60" spans="1:19" x14ac:dyDescent="0.25">
      <c r="A60" t="s">
        <v>1386</v>
      </c>
      <c r="B60">
        <v>0.7518977910032798</v>
      </c>
      <c r="C60">
        <v>46737.627663502681</v>
      </c>
      <c r="F60" t="s">
        <v>1379</v>
      </c>
      <c r="G60" t="s">
        <v>1388</v>
      </c>
      <c r="H60" t="s">
        <v>1472</v>
      </c>
      <c r="I60" t="s">
        <v>1473</v>
      </c>
      <c r="J60" t="s">
        <v>1474</v>
      </c>
      <c r="K60" t="s">
        <v>1475</v>
      </c>
      <c r="L60" t="s">
        <v>1476</v>
      </c>
      <c r="M60" t="s">
        <v>1477</v>
      </c>
      <c r="N60" t="s">
        <v>1478</v>
      </c>
    </row>
    <row r="61" spans="1:19" x14ac:dyDescent="0.25">
      <c r="A61" t="s">
        <v>1386</v>
      </c>
      <c r="B61">
        <v>0.7844025548051492</v>
      </c>
      <c r="C61">
        <v>48075.765522428868</v>
      </c>
      <c r="F61" t="s">
        <v>1435</v>
      </c>
      <c r="G61" s="12">
        <v>0.93706694582882122</v>
      </c>
      <c r="H61">
        <f>(G61-$Q$56)/(S57/SQRT(R57))</f>
        <v>8.2844627389354688</v>
      </c>
      <c r="I61">
        <f>_xlfn.T.INV(I$58,$R57-1)</f>
        <v>1.7081407612518986</v>
      </c>
      <c r="J61" t="str">
        <f>IF(ABS($H61)&gt;I61,"Reject","F.T.R.")</f>
        <v>Reject</v>
      </c>
      <c r="K61">
        <f>_xlfn.T.INV(K$58,$R57-1)</f>
        <v>2.0595385527532977</v>
      </c>
      <c r="L61" t="str">
        <f>IF(ABS($H61)&gt;K61,"Reject","F.T.R.")</f>
        <v>Reject</v>
      </c>
      <c r="M61">
        <f>_xlfn.T.INV(M$58,$R57-1)</f>
        <v>2.7874358136769692</v>
      </c>
      <c r="N61" t="str">
        <f>IF(ABS($H61)&gt;M61,"Reject","F.T.R.")</f>
        <v>Reject</v>
      </c>
    </row>
    <row r="62" spans="1:19" x14ac:dyDescent="0.25">
      <c r="A62" t="s">
        <v>1385</v>
      </c>
      <c r="B62">
        <v>0.47096724952536373</v>
      </c>
      <c r="C62">
        <v>36325.79807029834</v>
      </c>
      <c r="F62" t="s">
        <v>1436</v>
      </c>
      <c r="G62" s="12">
        <v>0.78892807335113657</v>
      </c>
      <c r="H62">
        <f t="shared" ref="H62:H63" si="24">(G62-$Q$56)/(S58/SQRT(R58))</f>
        <v>-1.2126691097732583</v>
      </c>
      <c r="I62">
        <f t="shared" ref="I62:I63" si="25">_xlfn.T.INV(I$58,$R58-1)</f>
        <v>1.7056179197592722</v>
      </c>
      <c r="J62" t="str">
        <f t="shared" ref="J62:J63" si="26">IF(ABS($H62)&gt;I62,"Reject","F.T.R.")</f>
        <v>F.T.R.</v>
      </c>
      <c r="K62">
        <f>_xlfn.T.INV(K$58,$R58-1)</f>
        <v>2.0555294386428731</v>
      </c>
      <c r="L62" t="str">
        <f>IF(ABS($H62)&gt;K62,"Reject","F.T.R.")</f>
        <v>F.T.R.</v>
      </c>
      <c r="M62">
        <f t="shared" ref="M62" si="27">_xlfn.T.INV(M$58,$R58-1)</f>
        <v>2.7787145333296825</v>
      </c>
      <c r="N62" t="str">
        <f t="shared" ref="N62" si="28">IF(ABS($H62)&gt;M62,"Reject","F.T.R.")</f>
        <v>F.T.R.</v>
      </c>
    </row>
    <row r="63" spans="1:19" x14ac:dyDescent="0.25">
      <c r="A63" t="s">
        <v>1385</v>
      </c>
      <c r="B63">
        <v>0.44641571903652894</v>
      </c>
      <c r="C63">
        <v>37029.425301983472</v>
      </c>
      <c r="F63" t="s">
        <v>1434</v>
      </c>
      <c r="G63" s="12">
        <v>0.76890841024902179</v>
      </c>
      <c r="H63">
        <f t="shared" si="24"/>
        <v>-2.5773277802414878</v>
      </c>
      <c r="I63">
        <f t="shared" si="25"/>
        <v>1.7056179197592722</v>
      </c>
      <c r="J63" t="str">
        <f t="shared" si="26"/>
        <v>Reject</v>
      </c>
      <c r="K63">
        <f t="shared" ref="K63" si="29">_xlfn.T.INV(K$58,$R59-1)</f>
        <v>2.0555294386428731</v>
      </c>
      <c r="L63" t="str">
        <f>IF(ABS($H63)&gt;K63,"Reject","F.T.R.")</f>
        <v>Reject</v>
      </c>
      <c r="M63">
        <f t="shared" ref="M63" si="30">_xlfn.T.INV(M$58,$R59-1)</f>
        <v>2.7787145333296825</v>
      </c>
      <c r="N63" t="str">
        <f t="shared" ref="N63" si="31">IF(ABS($H63)&gt;M63,"Reject","F.T.R.")</f>
        <v>F.T.R.</v>
      </c>
    </row>
    <row r="64" spans="1:19" x14ac:dyDescent="0.25">
      <c r="A64" t="s">
        <v>1385</v>
      </c>
      <c r="B64">
        <v>0.46687931725725051</v>
      </c>
      <c r="C64">
        <v>38606.126618443624</v>
      </c>
    </row>
    <row r="65" spans="1:20" x14ac:dyDescent="0.25">
      <c r="A65" t="s">
        <v>1385</v>
      </c>
      <c r="B65">
        <v>0.49378446297945855</v>
      </c>
      <c r="C65">
        <v>41040.08871613536</v>
      </c>
    </row>
    <row r="66" spans="1:20" x14ac:dyDescent="0.25">
      <c r="A66" t="s">
        <v>1385</v>
      </c>
      <c r="B66">
        <v>0.51744125252815487</v>
      </c>
      <c r="C66">
        <v>42384.192181773928</v>
      </c>
      <c r="F66" t="s">
        <v>1479</v>
      </c>
    </row>
    <row r="67" spans="1:20" x14ac:dyDescent="0.25">
      <c r="A67" t="s">
        <v>1384</v>
      </c>
      <c r="B67">
        <v>0.93110018216505108</v>
      </c>
      <c r="C67">
        <v>72220.47701489563</v>
      </c>
      <c r="F67" t="s">
        <v>1379</v>
      </c>
      <c r="G67" t="s">
        <v>1480</v>
      </c>
      <c r="H67" t="s">
        <v>1481</v>
      </c>
      <c r="I67" t="s">
        <v>1482</v>
      </c>
      <c r="J67" t="s">
        <v>1483</v>
      </c>
      <c r="K67" t="s">
        <v>1474</v>
      </c>
      <c r="L67" t="s">
        <v>1484</v>
      </c>
      <c r="M67" t="s">
        <v>1485</v>
      </c>
      <c r="N67" t="s">
        <v>1486</v>
      </c>
      <c r="O67" t="s">
        <v>1487</v>
      </c>
      <c r="P67" t="s">
        <v>1488</v>
      </c>
      <c r="Q67" t="s">
        <v>1478</v>
      </c>
      <c r="S67" t="s">
        <v>1383</v>
      </c>
    </row>
    <row r="68" spans="1:20" x14ac:dyDescent="0.25">
      <c r="A68" t="s">
        <v>1384</v>
      </c>
      <c r="B68">
        <v>0.96845255442268274</v>
      </c>
      <c r="C68">
        <v>82643.830102980064</v>
      </c>
      <c r="F68" t="s">
        <v>1435</v>
      </c>
      <c r="G68" s="12">
        <f>L6^2</f>
        <v>4.3170141333498772E-3</v>
      </c>
      <c r="H68">
        <f>(T69-1)*G68/$S$69</f>
        <v>4.8210040138108727</v>
      </c>
      <c r="I68">
        <f>_xlfn.CHISQ.INV(0.05,T69-1)</f>
        <v>14.611407639483307</v>
      </c>
      <c r="J68">
        <f>_xlfn.CHISQ.INV(0.95, T69-1)</f>
        <v>37.652484133482773</v>
      </c>
      <c r="K68" t="str">
        <f>IF(OR(H68&lt;I68,H68&gt;J68),"Reject","F.T.R.")</f>
        <v>Reject</v>
      </c>
      <c r="L68">
        <f>_xlfn.CHISQ.INV(0.025,T69-1)</f>
        <v>13.119720024937784</v>
      </c>
      <c r="M68">
        <f>_xlfn.CHISQ.INV(0.975,T69-1)</f>
        <v>40.646469120275199</v>
      </c>
      <c r="N68" t="str">
        <f>IF(OR(H68&lt;L68,H68&gt;M68),"Reject","F.T.R.")</f>
        <v>Reject</v>
      </c>
      <c r="O68">
        <f>_xlfn.CHISQ.INV(0.005,T69-1)</f>
        <v>10.519652112024692</v>
      </c>
      <c r="P68">
        <f>_xlfn.CHISQ.INV(0.995,T69-1)</f>
        <v>46.927890160080736</v>
      </c>
      <c r="Q68" t="str">
        <f>IF(OR(H68&lt;O68,H68&gt;P68),"Reject","F.T.R")</f>
        <v>Reject</v>
      </c>
      <c r="S68" t="s">
        <v>1480</v>
      </c>
      <c r="T68" t="s">
        <v>1456</v>
      </c>
    </row>
    <row r="69" spans="1:20" x14ac:dyDescent="0.25">
      <c r="A69" t="s">
        <v>1384</v>
      </c>
      <c r="B69">
        <v>1.045809441816695</v>
      </c>
      <c r="C69">
        <v>84967.92679077803</v>
      </c>
      <c r="F69" t="s">
        <v>1436</v>
      </c>
      <c r="G69" s="12">
        <f t="shared" ref="G69:G70" si="32">L7^2</f>
        <v>3.145128910395064E-2</v>
      </c>
      <c r="H69">
        <f t="shared" ref="H69:H70" si="33">(T70-1)*G69/$S$69</f>
        <v>36.527993140410402</v>
      </c>
      <c r="I69">
        <f t="shared" ref="I69:I70" si="34">_xlfn.CHISQ.INV(0.05,T70-1)</f>
        <v>15.379156583261738</v>
      </c>
      <c r="J69">
        <f t="shared" ref="J69:J70" si="35">_xlfn.CHISQ.INV(0.95, T70-1)</f>
        <v>38.885138659830041</v>
      </c>
      <c r="K69" t="str">
        <f t="shared" ref="K69:K70" si="36">IF(OR(H69&lt;I69,H69&gt;J69),"Reject","F.T.R.")</f>
        <v>F.T.R.</v>
      </c>
      <c r="L69">
        <f t="shared" ref="L69:L70" si="37">_xlfn.CHISQ.INV(0.025,T70-1)</f>
        <v>13.843904982007608</v>
      </c>
      <c r="M69">
        <f t="shared" ref="M69:M70" si="38">_xlfn.CHISQ.INV(0.975,T70-1)</f>
        <v>41.923170096353907</v>
      </c>
      <c r="N69" t="str">
        <f t="shared" ref="N69:N70" si="39">IF(OR(H69&lt;L69,H69&gt;M69),"Reject","F.T.R.")</f>
        <v>F.T.R.</v>
      </c>
      <c r="O69">
        <f t="shared" ref="O69:O70" si="40">_xlfn.CHISQ.INV(0.005,T70-1)</f>
        <v>11.16023740616415</v>
      </c>
      <c r="P69">
        <f t="shared" ref="P69:P70" si="41">_xlfn.CHISQ.INV(0.995,T70-1)</f>
        <v>48.289882332456827</v>
      </c>
      <c r="Q69" t="str">
        <f t="shared" ref="Q69:Q70" si="42">IF(OR(H69&lt;O69,H69&gt;P69),"Reject","F.T.R")</f>
        <v>F.T.R</v>
      </c>
      <c r="S69" s="12">
        <f>L5^2</f>
        <v>2.2386489001994189E-2</v>
      </c>
      <c r="T69">
        <v>26</v>
      </c>
    </row>
    <row r="70" spans="1:20" x14ac:dyDescent="0.25">
      <c r="A70" t="s">
        <v>1384</v>
      </c>
      <c r="B70">
        <v>0.905324651814293</v>
      </c>
      <c r="C70">
        <v>70605.993647569107</v>
      </c>
      <c r="F70" t="s">
        <v>1434</v>
      </c>
      <c r="G70" s="12">
        <f t="shared" si="32"/>
        <v>1.5327687190098966E-2</v>
      </c>
      <c r="H70">
        <f t="shared" si="33"/>
        <v>17.80180299407705</v>
      </c>
      <c r="I70">
        <f t="shared" si="34"/>
        <v>15.379156583261738</v>
      </c>
      <c r="J70">
        <f t="shared" si="35"/>
        <v>38.885138659830041</v>
      </c>
      <c r="K70" t="str">
        <f t="shared" si="36"/>
        <v>F.T.R.</v>
      </c>
      <c r="L70">
        <f t="shared" si="37"/>
        <v>13.843904982007608</v>
      </c>
      <c r="M70">
        <f t="shared" si="38"/>
        <v>41.923170096353907</v>
      </c>
      <c r="N70" t="str">
        <f t="shared" si="39"/>
        <v>F.T.R.</v>
      </c>
      <c r="O70">
        <f t="shared" si="40"/>
        <v>11.16023740616415</v>
      </c>
      <c r="P70">
        <f t="shared" si="41"/>
        <v>48.289882332456827</v>
      </c>
      <c r="Q70" t="str">
        <f t="shared" si="42"/>
        <v>F.T.R</v>
      </c>
      <c r="T70">
        <v>27</v>
      </c>
    </row>
    <row r="71" spans="1:20" x14ac:dyDescent="0.25">
      <c r="A71" t="s">
        <v>1384</v>
      </c>
      <c r="B71">
        <v>0.82460694837794091</v>
      </c>
      <c r="C71">
        <v>75649.890989364649</v>
      </c>
      <c r="T71">
        <v>27</v>
      </c>
    </row>
    <row r="72" spans="1:20" x14ac:dyDescent="0.25">
      <c r="A72" t="s">
        <v>1384</v>
      </c>
      <c r="B72">
        <v>0.98537597677911637</v>
      </c>
      <c r="C72">
        <v>46855.153070631633</v>
      </c>
    </row>
    <row r="73" spans="1:20" x14ac:dyDescent="0.25">
      <c r="A73" t="s">
        <v>1384</v>
      </c>
      <c r="B73">
        <v>0.94009103792086846</v>
      </c>
      <c r="C73">
        <v>49950.927617442467</v>
      </c>
    </row>
    <row r="74" spans="1:20" x14ac:dyDescent="0.25">
      <c r="A74" t="s">
        <v>1384</v>
      </c>
      <c r="B74">
        <v>0.95218910095429432</v>
      </c>
      <c r="C74">
        <v>51968.935782233137</v>
      </c>
    </row>
    <row r="75" spans="1:20" x14ac:dyDescent="0.25">
      <c r="A75" t="s">
        <v>1384</v>
      </c>
      <c r="B75">
        <v>1.0443984621068385</v>
      </c>
      <c r="C75">
        <v>54530.911276839557</v>
      </c>
    </row>
    <row r="76" spans="1:20" x14ac:dyDescent="0.25">
      <c r="A76" t="s">
        <v>1384</v>
      </c>
      <c r="B76">
        <v>0.95932333950081183</v>
      </c>
      <c r="C76">
        <v>55793.935163095513</v>
      </c>
    </row>
    <row r="77" spans="1:20" x14ac:dyDescent="0.25">
      <c r="A77" t="s">
        <v>1385</v>
      </c>
      <c r="B77">
        <v>0.7956998782460819</v>
      </c>
      <c r="C77">
        <v>42235.700313085872</v>
      </c>
    </row>
    <row r="78" spans="1:20" x14ac:dyDescent="0.25">
      <c r="A78" t="s">
        <v>1385</v>
      </c>
      <c r="B78">
        <v>0.82481095587010278</v>
      </c>
      <c r="C78">
        <v>42753.276711465071</v>
      </c>
    </row>
    <row r="79" spans="1:20" x14ac:dyDescent="0.25">
      <c r="A79" t="s">
        <v>1385</v>
      </c>
      <c r="B79">
        <v>0.84479984125757479</v>
      </c>
      <c r="C79">
        <v>43111.709882738891</v>
      </c>
    </row>
    <row r="80" spans="1:20" x14ac:dyDescent="0.25">
      <c r="A80" t="s">
        <v>1385</v>
      </c>
      <c r="B80">
        <v>0.85454799392169789</v>
      </c>
      <c r="C80">
        <v>45221.768117556268</v>
      </c>
    </row>
    <row r="81" spans="1:3" x14ac:dyDescent="0.25">
      <c r="A81" t="s">
        <v>1385</v>
      </c>
      <c r="B81">
        <v>0.96361810101542533</v>
      </c>
      <c r="C81">
        <v>46318.330801798082</v>
      </c>
    </row>
  </sheetData>
  <autoFilter ref="A1:A81" xr:uid="{CCE9DF5E-C99B-4203-8366-1090B0F052F1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C334-1DD4-4B2B-A9AC-2A0B91E24D92}">
  <dimension ref="B3:M40"/>
  <sheetViews>
    <sheetView topLeftCell="A7" workbookViewId="0">
      <selection activeCell="B26" sqref="B26:M31"/>
    </sheetView>
  </sheetViews>
  <sheetFormatPr defaultRowHeight="15" x14ac:dyDescent="0.25"/>
  <cols>
    <col min="2" max="2" width="12.28515625" customWidth="1"/>
    <col min="8" max="8" width="9.5703125" customWidth="1"/>
    <col min="9" max="10" width="10.85546875" customWidth="1"/>
  </cols>
  <sheetData>
    <row r="3" spans="2:10" x14ac:dyDescent="0.25">
      <c r="B3" s="24" t="s">
        <v>1417</v>
      </c>
      <c r="C3" s="24"/>
      <c r="D3" s="24"/>
      <c r="E3" s="24"/>
    </row>
    <row r="5" spans="2:10" ht="45" x14ac:dyDescent="0.25">
      <c r="B5" s="25" t="s">
        <v>1379</v>
      </c>
      <c r="C5" s="26" t="s">
        <v>1387</v>
      </c>
      <c r="D5" s="25" t="s">
        <v>1418</v>
      </c>
      <c r="E5" s="25" t="s">
        <v>1388</v>
      </c>
      <c r="F5" s="25" t="s">
        <v>1419</v>
      </c>
      <c r="G5" s="25" t="s">
        <v>1420</v>
      </c>
      <c r="H5" s="26" t="s">
        <v>1421</v>
      </c>
      <c r="I5" s="25" t="s">
        <v>1422</v>
      </c>
      <c r="J5" s="26" t="s">
        <v>1538</v>
      </c>
    </row>
    <row r="6" spans="2:10" x14ac:dyDescent="0.25">
      <c r="B6" s="23" t="s">
        <v>1383</v>
      </c>
      <c r="C6" s="23">
        <v>80</v>
      </c>
      <c r="D6" s="32">
        <v>0.44641571903652894</v>
      </c>
      <c r="E6" s="32">
        <v>0.83031657060942055</v>
      </c>
      <c r="F6" s="32">
        <v>0.84365437081094252</v>
      </c>
      <c r="G6" s="32">
        <v>1.0991592151115199</v>
      </c>
      <c r="H6" s="32">
        <v>0.14962115158624528</v>
      </c>
      <c r="I6" s="32">
        <v>0.25862071371166934</v>
      </c>
      <c r="J6" s="32">
        <v>0.27196674343146315</v>
      </c>
    </row>
    <row r="7" spans="2:10" x14ac:dyDescent="0.25">
      <c r="B7" s="22" t="s">
        <v>1509</v>
      </c>
      <c r="C7" s="22">
        <v>26</v>
      </c>
      <c r="D7" s="33">
        <v>0.82456469336869687</v>
      </c>
      <c r="E7" s="33">
        <v>0.93706694582882122</v>
      </c>
      <c r="F7" s="33">
        <v>0.95148473805041789</v>
      </c>
      <c r="G7" s="33">
        <v>1.045809441816695</v>
      </c>
      <c r="H7" s="33">
        <v>6.5703988717199485E-2</v>
      </c>
      <c r="I7" s="33">
        <v>-9.8867247780191209E-3</v>
      </c>
      <c r="J7" s="33">
        <v>-5.1808975537027006E-2</v>
      </c>
    </row>
    <row r="8" spans="2:10" x14ac:dyDescent="0.25">
      <c r="B8" s="23" t="s">
        <v>1510</v>
      </c>
      <c r="C8" s="23">
        <v>27</v>
      </c>
      <c r="D8" s="32">
        <v>0.44641571903652894</v>
      </c>
      <c r="E8" s="32">
        <v>0.78892807335113657</v>
      </c>
      <c r="F8" s="32">
        <v>0.83068332578979531</v>
      </c>
      <c r="G8" s="32">
        <v>1.0991592151115199</v>
      </c>
      <c r="H8" s="32">
        <v>0.17734511299709005</v>
      </c>
      <c r="I8" s="32">
        <v>0.63109802933699477</v>
      </c>
      <c r="J8" s="32">
        <v>0.70296703434752261</v>
      </c>
    </row>
    <row r="9" spans="2:10" x14ac:dyDescent="0.25">
      <c r="B9" s="22" t="s">
        <v>1511</v>
      </c>
      <c r="C9" s="22">
        <v>27</v>
      </c>
      <c r="D9" s="33">
        <v>0.58570957531494905</v>
      </c>
      <c r="E9" s="33">
        <v>0.76890841024902179</v>
      </c>
      <c r="F9" s="33">
        <v>0.7518977910032798</v>
      </c>
      <c r="G9" s="33">
        <v>0.99087827556597541</v>
      </c>
      <c r="H9" s="33">
        <v>0.12380503701424658</v>
      </c>
      <c r="I9" s="33">
        <v>0.39862264169818379</v>
      </c>
      <c r="J9" s="33">
        <v>0.33889691099385411</v>
      </c>
    </row>
    <row r="11" spans="2:10" x14ac:dyDescent="0.25">
      <c r="B11" s="24" t="s">
        <v>1461</v>
      </c>
      <c r="C11" s="24"/>
      <c r="D11" s="24"/>
      <c r="E11" s="24"/>
    </row>
    <row r="13" spans="2:10" x14ac:dyDescent="0.25">
      <c r="B13" s="24" t="s">
        <v>1379</v>
      </c>
      <c r="C13" s="24" t="s">
        <v>1469</v>
      </c>
      <c r="D13" s="24" t="s">
        <v>1448</v>
      </c>
      <c r="E13" s="24" t="s">
        <v>1449</v>
      </c>
      <c r="F13" s="24" t="s">
        <v>1450</v>
      </c>
      <c r="G13" s="24" t="s">
        <v>1451</v>
      </c>
      <c r="H13" s="24" t="s">
        <v>1452</v>
      </c>
      <c r="I13" s="24" t="s">
        <v>1453</v>
      </c>
    </row>
    <row r="14" spans="2:10" x14ac:dyDescent="0.25">
      <c r="B14" s="23" t="s">
        <v>1383</v>
      </c>
      <c r="C14" s="32">
        <v>2.2386489001994189E-2</v>
      </c>
      <c r="D14" s="32">
        <v>1.7553914417527506E-2</v>
      </c>
      <c r="E14" s="32">
        <v>1.6767673459264516E-2</v>
      </c>
      <c r="F14" s="32">
        <v>1.5362965944845946E-2</v>
      </c>
      <c r="G14" s="32">
        <v>2.971210475355815E-2</v>
      </c>
      <c r="H14" s="32">
        <v>3.1407691184976848E-2</v>
      </c>
      <c r="I14" s="32">
        <v>3.5106569710160511E-2</v>
      </c>
    </row>
    <row r="15" spans="2:10" x14ac:dyDescent="0.25">
      <c r="B15" s="22" t="s">
        <v>1509</v>
      </c>
      <c r="C15" s="33">
        <v>4.3170141333498772E-3</v>
      </c>
      <c r="D15" s="33">
        <v>2.8663541282200142E-3</v>
      </c>
      <c r="E15" s="33">
        <v>2.6552208757515865E-3</v>
      </c>
      <c r="F15" s="33">
        <v>2.2998126053737178E-3</v>
      </c>
      <c r="G15" s="33">
        <v>7.3863761792606741E-3</v>
      </c>
      <c r="H15" s="33">
        <v>8.2261933279524184E-3</v>
      </c>
      <c r="I15" s="33">
        <v>1.025940327535934E-2</v>
      </c>
    </row>
    <row r="16" spans="2:10" x14ac:dyDescent="0.25">
      <c r="B16" s="23" t="s">
        <v>1510</v>
      </c>
      <c r="C16" s="32">
        <v>3.145128910395064E-2</v>
      </c>
      <c r="D16" s="32">
        <v>2.102946125141298E-2</v>
      </c>
      <c r="E16" s="32">
        <v>1.9505526772505107E-2</v>
      </c>
      <c r="F16" s="32">
        <v>1.6933847779394932E-2</v>
      </c>
      <c r="G16" s="32">
        <v>5.3171545024303601E-2</v>
      </c>
      <c r="H16" s="32">
        <v>5.9068125486666768E-2</v>
      </c>
      <c r="I16" s="32">
        <v>7.3272053894754677E-2</v>
      </c>
    </row>
    <row r="17" spans="2:13" x14ac:dyDescent="0.25">
      <c r="B17" s="22" t="s">
        <v>1511</v>
      </c>
      <c r="C17" s="33">
        <v>1.5327687190098966E-2</v>
      </c>
      <c r="D17" s="33">
        <v>1.0248642043657174E-2</v>
      </c>
      <c r="E17" s="33">
        <v>9.505957350711719E-3</v>
      </c>
      <c r="F17" s="33">
        <v>8.2526576519470641E-3</v>
      </c>
      <c r="G17" s="33">
        <v>2.5912985851012888E-2</v>
      </c>
      <c r="H17" s="33">
        <v>2.8786665862017554E-2</v>
      </c>
      <c r="I17" s="33">
        <v>3.5708905862742495E-2</v>
      </c>
    </row>
    <row r="19" spans="2:13" x14ac:dyDescent="0.25">
      <c r="B19" s="24" t="s">
        <v>1470</v>
      </c>
      <c r="C19" s="24"/>
      <c r="D19" s="24"/>
      <c r="E19" s="24"/>
      <c r="F19" s="24"/>
      <c r="G19" s="24"/>
    </row>
    <row r="21" spans="2:13" x14ac:dyDescent="0.25">
      <c r="B21" s="24" t="s">
        <v>1379</v>
      </c>
      <c r="C21" s="24" t="s">
        <v>1388</v>
      </c>
      <c r="D21" s="24" t="s">
        <v>1472</v>
      </c>
      <c r="E21" s="24" t="s">
        <v>1473</v>
      </c>
      <c r="F21" s="24" t="s">
        <v>1474</v>
      </c>
      <c r="G21" s="24" t="s">
        <v>1475</v>
      </c>
      <c r="H21" s="24" t="s">
        <v>1476</v>
      </c>
      <c r="I21" s="24" t="s">
        <v>1477</v>
      </c>
      <c r="J21" s="24" t="s">
        <v>1478</v>
      </c>
    </row>
    <row r="22" spans="2:13" x14ac:dyDescent="0.25">
      <c r="B22" s="23" t="s">
        <v>1435</v>
      </c>
      <c r="C22" s="32">
        <v>0.93706694582882122</v>
      </c>
      <c r="D22" s="32">
        <v>8.2844627389354688</v>
      </c>
      <c r="E22" s="32">
        <v>1.7081407612518986</v>
      </c>
      <c r="F22" s="23" t="s">
        <v>1540</v>
      </c>
      <c r="G22" s="32">
        <v>2.0595385527532977</v>
      </c>
      <c r="H22" s="23" t="s">
        <v>1540</v>
      </c>
      <c r="I22" s="32">
        <v>2.7874358136769692</v>
      </c>
      <c r="J22" s="23" t="s">
        <v>1540</v>
      </c>
    </row>
    <row r="23" spans="2:13" x14ac:dyDescent="0.25">
      <c r="B23" s="22" t="s">
        <v>1436</v>
      </c>
      <c r="C23" s="33">
        <v>0.78892807335113657</v>
      </c>
      <c r="D23" s="33">
        <v>-1.2126691097732583</v>
      </c>
      <c r="E23" s="33">
        <v>1.7056179197592722</v>
      </c>
      <c r="F23" s="22" t="s">
        <v>1541</v>
      </c>
      <c r="G23" s="33">
        <v>2.0555294386428731</v>
      </c>
      <c r="H23" s="22" t="s">
        <v>1541</v>
      </c>
      <c r="I23" s="33">
        <v>2.7787145333296825</v>
      </c>
      <c r="J23" s="22" t="s">
        <v>1541</v>
      </c>
    </row>
    <row r="24" spans="2:13" x14ac:dyDescent="0.25">
      <c r="B24" s="23" t="s">
        <v>1434</v>
      </c>
      <c r="C24" s="32">
        <v>0.76890841024902179</v>
      </c>
      <c r="D24" s="32">
        <v>-2.5773277802414878</v>
      </c>
      <c r="E24" s="32">
        <v>1.7056179197592722</v>
      </c>
      <c r="F24" s="23" t="s">
        <v>1540</v>
      </c>
      <c r="G24" s="32">
        <v>2.0555294386428731</v>
      </c>
      <c r="H24" s="23" t="s">
        <v>1540</v>
      </c>
      <c r="I24" s="32">
        <v>2.7787145333296825</v>
      </c>
      <c r="J24" s="23" t="s">
        <v>1541</v>
      </c>
    </row>
    <row r="25" spans="2:13" x14ac:dyDescent="0.25">
      <c r="G25" s="34"/>
    </row>
    <row r="26" spans="2:13" x14ac:dyDescent="0.25">
      <c r="B26" s="24" t="s">
        <v>1479</v>
      </c>
      <c r="C26" s="24"/>
      <c r="D26" s="24"/>
      <c r="E26" s="24"/>
      <c r="F26" s="24"/>
      <c r="G26" s="24"/>
    </row>
    <row r="28" spans="2:13" x14ac:dyDescent="0.25">
      <c r="B28" s="24" t="s">
        <v>1379</v>
      </c>
      <c r="C28" s="24" t="s">
        <v>1480</v>
      </c>
      <c r="D28" s="24" t="s">
        <v>1481</v>
      </c>
      <c r="E28" s="24" t="s">
        <v>1482</v>
      </c>
      <c r="F28" s="24" t="s">
        <v>1483</v>
      </c>
      <c r="G28" s="24" t="s">
        <v>1474</v>
      </c>
      <c r="H28" s="24" t="s">
        <v>1484</v>
      </c>
      <c r="I28" s="24" t="s">
        <v>1485</v>
      </c>
      <c r="J28" s="24" t="s">
        <v>1486</v>
      </c>
      <c r="K28" s="24" t="s">
        <v>1487</v>
      </c>
      <c r="L28" s="24" t="s">
        <v>1488</v>
      </c>
      <c r="M28" s="24" t="s">
        <v>1478</v>
      </c>
    </row>
    <row r="29" spans="2:13" x14ac:dyDescent="0.25">
      <c r="B29" s="23" t="s">
        <v>1435</v>
      </c>
      <c r="C29" s="32">
        <v>4.3170141333498772E-3</v>
      </c>
      <c r="D29" s="32">
        <v>4.8210040138108727</v>
      </c>
      <c r="E29" s="32">
        <v>14.611407639483307</v>
      </c>
      <c r="F29" s="32">
        <v>37.652484133482773</v>
      </c>
      <c r="G29" s="32" t="s">
        <v>1540</v>
      </c>
      <c r="H29" s="32">
        <v>13.119720024937784</v>
      </c>
      <c r="I29" s="32">
        <v>40.646469120275199</v>
      </c>
      <c r="J29" s="32" t="s">
        <v>1540</v>
      </c>
      <c r="K29" s="32">
        <v>10.519652112024692</v>
      </c>
      <c r="L29" s="32">
        <v>46.927890160080736</v>
      </c>
      <c r="M29" s="23" t="s">
        <v>1540</v>
      </c>
    </row>
    <row r="30" spans="2:13" x14ac:dyDescent="0.25">
      <c r="B30" s="22" t="s">
        <v>1436</v>
      </c>
      <c r="C30" s="33">
        <v>3.145128910395064E-2</v>
      </c>
      <c r="D30" s="33">
        <v>36.527993140410402</v>
      </c>
      <c r="E30" s="33">
        <v>15.379156583261738</v>
      </c>
      <c r="F30" s="33">
        <v>38.885138659830041</v>
      </c>
      <c r="G30" s="33" t="s">
        <v>1541</v>
      </c>
      <c r="H30" s="33">
        <v>13.843904982007608</v>
      </c>
      <c r="I30" s="33">
        <v>41.923170096353907</v>
      </c>
      <c r="J30" s="33" t="s">
        <v>1541</v>
      </c>
      <c r="K30" s="33">
        <v>11.16023740616415</v>
      </c>
      <c r="L30" s="33">
        <v>48.289882332456827</v>
      </c>
      <c r="M30" s="22" t="s">
        <v>1542</v>
      </c>
    </row>
    <row r="31" spans="2:13" x14ac:dyDescent="0.25">
      <c r="B31" s="23" t="s">
        <v>1434</v>
      </c>
      <c r="C31" s="32">
        <v>1.5327687190098966E-2</v>
      </c>
      <c r="D31" s="32">
        <v>17.80180299407705</v>
      </c>
      <c r="E31" s="32">
        <v>15.379156583261738</v>
      </c>
      <c r="F31" s="32">
        <v>38.885138659830041</v>
      </c>
      <c r="G31" s="32" t="s">
        <v>1541</v>
      </c>
      <c r="H31" s="32">
        <v>13.843904982007608</v>
      </c>
      <c r="I31" s="32">
        <v>41.923170096353907</v>
      </c>
      <c r="J31" s="32" t="s">
        <v>1541</v>
      </c>
      <c r="K31" s="32">
        <v>11.16023740616415</v>
      </c>
      <c r="L31" s="32">
        <v>48.289882332456827</v>
      </c>
      <c r="M31" s="23" t="s">
        <v>1542</v>
      </c>
    </row>
    <row r="34" spans="2:9" x14ac:dyDescent="0.25">
      <c r="B34" s="24" t="s">
        <v>1447</v>
      </c>
      <c r="C34" s="24"/>
      <c r="D34" s="24"/>
    </row>
    <row r="36" spans="2:9" x14ac:dyDescent="0.25">
      <c r="B36" s="24" t="s">
        <v>1379</v>
      </c>
      <c r="C36" s="24" t="s">
        <v>1388</v>
      </c>
      <c r="D36" s="24" t="s">
        <v>1448</v>
      </c>
      <c r="E36" s="24" t="s">
        <v>1449</v>
      </c>
      <c r="F36" s="24" t="s">
        <v>1450</v>
      </c>
      <c r="G36" s="24" t="s">
        <v>1451</v>
      </c>
      <c r="H36" s="24" t="s">
        <v>1452</v>
      </c>
      <c r="I36" s="24" t="s">
        <v>1453</v>
      </c>
    </row>
    <row r="37" spans="2:9" x14ac:dyDescent="0.25">
      <c r="B37" s="22" t="s">
        <v>1383</v>
      </c>
      <c r="C37" s="33">
        <v>0.83031657060942055</v>
      </c>
      <c r="D37" s="33">
        <v>0.80247471054433939</v>
      </c>
      <c r="E37" s="33">
        <v>0.79702001437472259</v>
      </c>
      <c r="F37" s="33">
        <v>0.78616253258925806</v>
      </c>
      <c r="G37" s="33">
        <v>0.8581584306745017</v>
      </c>
      <c r="H37" s="33">
        <v>0.86361312684411851</v>
      </c>
      <c r="I37" s="33">
        <v>0.87447060862958303</v>
      </c>
    </row>
    <row r="38" spans="2:9" x14ac:dyDescent="0.25">
      <c r="B38" s="23" t="s">
        <v>1384</v>
      </c>
      <c r="C38" s="32">
        <v>0.93706694582882122</v>
      </c>
      <c r="D38" s="32">
        <v>0.91505650617360901</v>
      </c>
      <c r="E38" s="32">
        <v>0.9105285304585703</v>
      </c>
      <c r="F38" s="32">
        <v>0.90114912853796247</v>
      </c>
      <c r="G38" s="32">
        <v>0.95907738548403343</v>
      </c>
      <c r="H38" s="32">
        <v>0.96360536119907214</v>
      </c>
      <c r="I38" s="32">
        <v>0.97298476311967996</v>
      </c>
    </row>
    <row r="39" spans="2:9" x14ac:dyDescent="0.25">
      <c r="B39" s="22" t="s">
        <v>1385</v>
      </c>
      <c r="C39" s="33">
        <v>0.78892807335113657</v>
      </c>
      <c r="D39" s="33">
        <v>0.73071519233791782</v>
      </c>
      <c r="E39" s="33">
        <v>0.71877268318745069</v>
      </c>
      <c r="F39" s="33">
        <v>0.69409031594691517</v>
      </c>
      <c r="G39" s="33">
        <v>0.84714095436435533</v>
      </c>
      <c r="H39" s="33">
        <v>0.85908346351482245</v>
      </c>
      <c r="I39" s="33">
        <v>0.88376583075535797</v>
      </c>
    </row>
    <row r="40" spans="2:9" x14ac:dyDescent="0.25">
      <c r="B40" s="23" t="s">
        <v>1386</v>
      </c>
      <c r="C40" s="32">
        <v>0.76890841024902179</v>
      </c>
      <c r="D40" s="32">
        <v>0.72826986224084667</v>
      </c>
      <c r="E40" s="32">
        <v>0.71993276874878742</v>
      </c>
      <c r="F40" s="32">
        <v>0.70270195061023588</v>
      </c>
      <c r="G40" s="32">
        <v>0.80954695825719691</v>
      </c>
      <c r="H40" s="32">
        <v>0.81788405174925616</v>
      </c>
      <c r="I40" s="32">
        <v>0.8351148698878077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3B0A-DF48-4A54-AA8F-E7B1809105A6}">
  <dimension ref="B1:D28"/>
  <sheetViews>
    <sheetView workbookViewId="0">
      <selection activeCell="H30" sqref="H30"/>
    </sheetView>
  </sheetViews>
  <sheetFormatPr defaultColWidth="8.85546875" defaultRowHeight="15" x14ac:dyDescent="0.25"/>
  <sheetData>
    <row r="1" spans="2:4" x14ac:dyDescent="0.25">
      <c r="B1" t="s">
        <v>1509</v>
      </c>
      <c r="C1" t="s">
        <v>1510</v>
      </c>
      <c r="D1" t="s">
        <v>1511</v>
      </c>
    </row>
    <row r="2" spans="2:4" x14ac:dyDescent="0.25">
      <c r="B2">
        <v>0.96131147203288581</v>
      </c>
      <c r="C2">
        <v>0.9096044797406222</v>
      </c>
      <c r="D2">
        <v>0.82313456909767047</v>
      </c>
    </row>
    <row r="3" spans="2:4" x14ac:dyDescent="0.25">
      <c r="B3">
        <v>0.97310730133488987</v>
      </c>
      <c r="C3">
        <v>1.0991592151115199</v>
      </c>
      <c r="D3">
        <v>0.80665474734783871</v>
      </c>
    </row>
    <row r="4" spans="2:4" x14ac:dyDescent="0.25">
      <c r="B4">
        <v>0.82456469336869687</v>
      </c>
      <c r="C4">
        <v>0.90750238136135797</v>
      </c>
      <c r="D4">
        <v>0.81229288695106849</v>
      </c>
    </row>
    <row r="5" spans="2:4" x14ac:dyDescent="0.25">
      <c r="B5">
        <v>0.83014906007803291</v>
      </c>
      <c r="C5">
        <v>0.99557675685245373</v>
      </c>
      <c r="D5">
        <v>0.81691703470526222</v>
      </c>
    </row>
    <row r="6" spans="2:4" x14ac:dyDescent="0.25">
      <c r="B6">
        <v>0.84250890036431014</v>
      </c>
      <c r="C6">
        <v>1.0293968278304799</v>
      </c>
      <c r="D6">
        <v>0.89645316229754601</v>
      </c>
    </row>
    <row r="7" spans="2:4" x14ac:dyDescent="0.25">
      <c r="B7">
        <v>0.95078037514654157</v>
      </c>
      <c r="C7">
        <v>0.74765985311219851</v>
      </c>
      <c r="D7">
        <v>0.74393593046378947</v>
      </c>
    </row>
    <row r="8" spans="2:4" x14ac:dyDescent="0.25">
      <c r="B8">
        <v>0.92043993760483378</v>
      </c>
      <c r="C8">
        <v>0.94171912667068891</v>
      </c>
      <c r="D8">
        <v>0.80232293194961446</v>
      </c>
    </row>
    <row r="9" spans="2:4" x14ac:dyDescent="0.25">
      <c r="B9">
        <v>0.97351588060248362</v>
      </c>
      <c r="C9">
        <v>0.83068332578979531</v>
      </c>
      <c r="D9">
        <v>0.70847724008947577</v>
      </c>
    </row>
    <row r="10" spans="2:4" x14ac:dyDescent="0.25">
      <c r="B10">
        <v>0.97000635391295142</v>
      </c>
      <c r="C10">
        <v>0.81881908416994753</v>
      </c>
      <c r="D10">
        <v>0.66420471988704544</v>
      </c>
    </row>
    <row r="11" spans="2:4" x14ac:dyDescent="0.25">
      <c r="B11">
        <v>1.0333880660833936</v>
      </c>
      <c r="C11">
        <v>0.85124912867882008</v>
      </c>
      <c r="D11">
        <v>0.67668243829190799</v>
      </c>
    </row>
    <row r="12" spans="2:4" x14ac:dyDescent="0.25">
      <c r="B12">
        <v>0.82697733456333122</v>
      </c>
      <c r="C12">
        <v>0.81321441570076702</v>
      </c>
      <c r="D12">
        <v>0.59272337202460712</v>
      </c>
    </row>
    <row r="13" spans="2:4" x14ac:dyDescent="0.25">
      <c r="B13">
        <v>0.91691534070828062</v>
      </c>
      <c r="C13">
        <v>0.85187419849456381</v>
      </c>
      <c r="D13">
        <v>0.58570957531494905</v>
      </c>
    </row>
    <row r="14" spans="2:4" x14ac:dyDescent="0.25">
      <c r="B14">
        <v>0.87966177977890037</v>
      </c>
      <c r="C14">
        <v>0.84705862752765693</v>
      </c>
      <c r="D14">
        <v>0.59927574702797526</v>
      </c>
    </row>
    <row r="15" spans="2:4" x14ac:dyDescent="0.25">
      <c r="B15">
        <v>0.94159110392945733</v>
      </c>
      <c r="C15">
        <v>0.87160472584399917</v>
      </c>
      <c r="D15">
        <v>0.59639727461570413</v>
      </c>
    </row>
    <row r="16" spans="2:4" x14ac:dyDescent="0.25">
      <c r="B16">
        <v>0.98611877389755065</v>
      </c>
      <c r="C16">
        <v>0.67896377172528399</v>
      </c>
      <c r="D16">
        <v>0.63033084477681867</v>
      </c>
    </row>
    <row r="17" spans="2:4" x14ac:dyDescent="0.25">
      <c r="B17">
        <v>0.97603252228422344</v>
      </c>
      <c r="C17">
        <v>0.6988099275433477</v>
      </c>
      <c r="D17">
        <v>0.68967624471305267</v>
      </c>
    </row>
    <row r="18" spans="2:4" x14ac:dyDescent="0.25">
      <c r="B18">
        <v>0.93110018216505108</v>
      </c>
      <c r="C18">
        <v>0.72919736268954694</v>
      </c>
      <c r="D18">
        <v>0.70525718709339769</v>
      </c>
    </row>
    <row r="19" spans="2:4" x14ac:dyDescent="0.25">
      <c r="B19">
        <v>0.96845255442268274</v>
      </c>
      <c r="C19">
        <v>0.47096724952536373</v>
      </c>
      <c r="D19">
        <v>0.7271028605063844</v>
      </c>
    </row>
    <row r="20" spans="2:4" x14ac:dyDescent="0.25">
      <c r="B20">
        <v>1.045809441816695</v>
      </c>
      <c r="C20">
        <v>0.44641571903652894</v>
      </c>
      <c r="D20">
        <v>0.71683257951068369</v>
      </c>
    </row>
    <row r="21" spans="2:4" x14ac:dyDescent="0.25">
      <c r="B21">
        <v>0.905324651814293</v>
      </c>
      <c r="C21">
        <v>0.46687931725725051</v>
      </c>
      <c r="D21">
        <v>0.81821053795425447</v>
      </c>
    </row>
    <row r="22" spans="2:4" x14ac:dyDescent="0.25">
      <c r="B22">
        <v>0.82460694837794091</v>
      </c>
      <c r="C22">
        <v>0.49378446297945855</v>
      </c>
      <c r="D22">
        <v>0.99087827556597541</v>
      </c>
    </row>
    <row r="23" spans="2:4" x14ac:dyDescent="0.25">
      <c r="B23">
        <v>0.98537597677911637</v>
      </c>
      <c r="C23">
        <v>0.51744125252815487</v>
      </c>
      <c r="D23">
        <v>0.94972539276772483</v>
      </c>
    </row>
    <row r="24" spans="2:4" x14ac:dyDescent="0.25">
      <c r="B24">
        <v>0.94009103792086846</v>
      </c>
      <c r="C24">
        <v>0.7956998782460819</v>
      </c>
      <c r="D24">
        <v>0.97724445391128134</v>
      </c>
    </row>
    <row r="25" spans="2:4" x14ac:dyDescent="0.25">
      <c r="B25">
        <v>0.95218910095429432</v>
      </c>
      <c r="C25">
        <v>0.82481095587010278</v>
      </c>
      <c r="D25">
        <v>0.95019001690154248</v>
      </c>
    </row>
    <row r="26" spans="2:4" x14ac:dyDescent="0.25">
      <c r="B26">
        <v>1.0443984621068385</v>
      </c>
      <c r="C26">
        <v>0.84479984125757479</v>
      </c>
      <c r="D26">
        <v>0.94359670714959187</v>
      </c>
    </row>
    <row r="27" spans="2:4" x14ac:dyDescent="0.25">
      <c r="B27">
        <v>0.95932333950081183</v>
      </c>
      <c r="C27">
        <v>0.85454799392169789</v>
      </c>
      <c r="D27">
        <v>0.7518977910032798</v>
      </c>
    </row>
    <row r="28" spans="2:4" x14ac:dyDescent="0.25">
      <c r="C28">
        <v>0.96361810101542533</v>
      </c>
      <c r="D28">
        <v>0.7844025548051492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6711-C8C1-434A-B048-6B3D3FB72398}">
  <dimension ref="A1:K39"/>
  <sheetViews>
    <sheetView workbookViewId="0">
      <selection activeCell="A28" sqref="A28"/>
    </sheetView>
  </sheetViews>
  <sheetFormatPr defaultColWidth="8.85546875" defaultRowHeight="15" x14ac:dyDescent="0.25"/>
  <cols>
    <col min="1" max="1" width="13.140625" bestFit="1" customWidth="1"/>
    <col min="2" max="2" width="18.140625" bestFit="1" customWidth="1"/>
  </cols>
  <sheetData>
    <row r="1" spans="1:11" x14ac:dyDescent="0.25">
      <c r="A1" s="5" t="s">
        <v>1379</v>
      </c>
      <c r="B1" t="s">
        <v>1384</v>
      </c>
    </row>
    <row r="3" spans="1:11" x14ac:dyDescent="0.25">
      <c r="A3" s="5" t="s">
        <v>1365</v>
      </c>
      <c r="B3" t="s">
        <v>1423</v>
      </c>
    </row>
    <row r="4" spans="1:11" x14ac:dyDescent="0.25">
      <c r="A4" s="6" t="s">
        <v>1442</v>
      </c>
      <c r="B4">
        <v>5</v>
      </c>
    </row>
    <row r="5" spans="1:11" x14ac:dyDescent="0.25">
      <c r="A5" s="6" t="s">
        <v>1443</v>
      </c>
      <c r="B5">
        <v>4</v>
      </c>
    </row>
    <row r="6" spans="1:11" x14ac:dyDescent="0.25">
      <c r="A6" s="6" t="s">
        <v>1444</v>
      </c>
      <c r="B6">
        <v>14</v>
      </c>
    </row>
    <row r="7" spans="1:11" x14ac:dyDescent="0.25">
      <c r="A7" s="6" t="s">
        <v>1445</v>
      </c>
      <c r="B7">
        <v>3</v>
      </c>
    </row>
    <row r="8" spans="1:11" x14ac:dyDescent="0.25">
      <c r="A8" s="6" t="s">
        <v>1366</v>
      </c>
      <c r="B8">
        <v>26</v>
      </c>
    </row>
    <row r="14" spans="1:11" x14ac:dyDescent="0.25">
      <c r="D14" t="s">
        <v>1434</v>
      </c>
      <c r="G14" t="s">
        <v>1436</v>
      </c>
      <c r="J14" t="s">
        <v>1435</v>
      </c>
    </row>
    <row r="15" spans="1:11" x14ac:dyDescent="0.25">
      <c r="A15" t="s">
        <v>1433</v>
      </c>
      <c r="B15" t="s">
        <v>1383</v>
      </c>
      <c r="D15" t="s">
        <v>1433</v>
      </c>
      <c r="E15" t="s">
        <v>1383</v>
      </c>
      <c r="G15" t="s">
        <v>1433</v>
      </c>
      <c r="H15" t="s">
        <v>1383</v>
      </c>
      <c r="J15" t="s">
        <v>1433</v>
      </c>
      <c r="K15" t="s">
        <v>1383</v>
      </c>
    </row>
    <row r="16" spans="1:11" x14ac:dyDescent="0.25">
      <c r="A16" s="6" t="s">
        <v>1437</v>
      </c>
      <c r="B16">
        <v>3</v>
      </c>
      <c r="D16" s="6" t="s">
        <v>1437</v>
      </c>
      <c r="E16">
        <v>0</v>
      </c>
      <c r="G16" s="6" t="s">
        <v>1437</v>
      </c>
      <c r="H16">
        <v>3</v>
      </c>
      <c r="J16" s="6" t="s">
        <v>1437</v>
      </c>
      <c r="K16">
        <v>0</v>
      </c>
    </row>
    <row r="17" spans="1:11" x14ac:dyDescent="0.25">
      <c r="A17" s="6" t="s">
        <v>1438</v>
      </c>
      <c r="B17">
        <v>2</v>
      </c>
      <c r="D17" s="6" t="s">
        <v>1438</v>
      </c>
      <c r="E17">
        <v>0</v>
      </c>
      <c r="G17" t="s">
        <v>1438</v>
      </c>
      <c r="H17">
        <v>2</v>
      </c>
      <c r="J17" t="s">
        <v>1438</v>
      </c>
      <c r="K17">
        <v>0</v>
      </c>
    </row>
    <row r="18" spans="1:11" x14ac:dyDescent="0.25">
      <c r="A18" s="6" t="s">
        <v>1439</v>
      </c>
      <c r="B18">
        <v>4</v>
      </c>
      <c r="D18" s="6" t="s">
        <v>1439</v>
      </c>
      <c r="E18">
        <v>4</v>
      </c>
      <c r="G18" s="6" t="s">
        <v>1439</v>
      </c>
      <c r="H18">
        <v>0</v>
      </c>
      <c r="J18" s="6" t="s">
        <v>1439</v>
      </c>
      <c r="K18">
        <v>0</v>
      </c>
    </row>
    <row r="19" spans="1:11" x14ac:dyDescent="0.25">
      <c r="A19" s="6" t="s">
        <v>1440</v>
      </c>
      <c r="B19">
        <v>6</v>
      </c>
      <c r="D19" t="s">
        <v>1440</v>
      </c>
      <c r="E19">
        <v>4</v>
      </c>
      <c r="G19" t="s">
        <v>1440</v>
      </c>
      <c r="H19">
        <v>2</v>
      </c>
      <c r="J19" t="s">
        <v>1440</v>
      </c>
      <c r="K19">
        <v>0</v>
      </c>
    </row>
    <row r="20" spans="1:11" x14ac:dyDescent="0.25">
      <c r="A20" s="6" t="s">
        <v>1441</v>
      </c>
      <c r="B20">
        <v>8</v>
      </c>
      <c r="D20" t="s">
        <v>1441</v>
      </c>
      <c r="E20">
        <v>6</v>
      </c>
      <c r="G20" t="s">
        <v>1441</v>
      </c>
      <c r="H20">
        <v>2</v>
      </c>
      <c r="J20" t="s">
        <v>1441</v>
      </c>
      <c r="K20">
        <v>0</v>
      </c>
    </row>
    <row r="21" spans="1:11" x14ac:dyDescent="0.25">
      <c r="A21" s="6" t="s">
        <v>1442</v>
      </c>
      <c r="B21">
        <v>19</v>
      </c>
      <c r="D21" t="s">
        <v>1442</v>
      </c>
      <c r="E21">
        <v>7</v>
      </c>
      <c r="G21" t="s">
        <v>1442</v>
      </c>
      <c r="H21">
        <v>7</v>
      </c>
      <c r="J21" t="s">
        <v>1442</v>
      </c>
      <c r="K21">
        <v>5</v>
      </c>
    </row>
    <row r="22" spans="1:11" x14ac:dyDescent="0.25">
      <c r="A22" s="6" t="s">
        <v>1443</v>
      </c>
      <c r="B22">
        <v>11</v>
      </c>
      <c r="D22" t="s">
        <v>1443</v>
      </c>
      <c r="E22">
        <v>1</v>
      </c>
      <c r="G22" t="s">
        <v>1443</v>
      </c>
      <c r="H22">
        <v>6</v>
      </c>
      <c r="J22" t="s">
        <v>1443</v>
      </c>
      <c r="K22">
        <v>4</v>
      </c>
    </row>
    <row r="23" spans="1:11" x14ac:dyDescent="0.25">
      <c r="A23" s="6" t="s">
        <v>1444</v>
      </c>
      <c r="B23">
        <v>22</v>
      </c>
      <c r="D23" t="s">
        <v>1444</v>
      </c>
      <c r="E23">
        <v>5</v>
      </c>
      <c r="G23" t="s">
        <v>1444</v>
      </c>
      <c r="H23">
        <v>3</v>
      </c>
      <c r="J23" t="s">
        <v>1444</v>
      </c>
      <c r="K23">
        <v>14</v>
      </c>
    </row>
    <row r="24" spans="1:11" x14ac:dyDescent="0.25">
      <c r="A24" s="6" t="s">
        <v>1445</v>
      </c>
      <c r="B24">
        <v>4</v>
      </c>
      <c r="D24" s="6" t="s">
        <v>1445</v>
      </c>
      <c r="E24">
        <v>0</v>
      </c>
      <c r="G24" t="s">
        <v>1445</v>
      </c>
      <c r="H24">
        <v>1</v>
      </c>
      <c r="J24" t="s">
        <v>1445</v>
      </c>
      <c r="K24">
        <v>3</v>
      </c>
    </row>
    <row r="25" spans="1:11" x14ac:dyDescent="0.25">
      <c r="A25" s="6" t="s">
        <v>1446</v>
      </c>
      <c r="B25">
        <v>1</v>
      </c>
      <c r="D25" s="6" t="s">
        <v>1446</v>
      </c>
      <c r="E25">
        <v>0</v>
      </c>
      <c r="G25" t="s">
        <v>1446</v>
      </c>
      <c r="H25">
        <v>1</v>
      </c>
      <c r="J25" t="s">
        <v>1446</v>
      </c>
      <c r="K25">
        <v>0</v>
      </c>
    </row>
    <row r="26" spans="1:11" x14ac:dyDescent="0.25">
      <c r="A26" s="6" t="s">
        <v>1401</v>
      </c>
      <c r="B26">
        <v>80</v>
      </c>
      <c r="D26" t="s">
        <v>1401</v>
      </c>
      <c r="E26">
        <v>27</v>
      </c>
      <c r="G26" t="s">
        <v>1401</v>
      </c>
      <c r="H26">
        <v>26</v>
      </c>
      <c r="J26" t="s">
        <v>1401</v>
      </c>
      <c r="K26">
        <v>27</v>
      </c>
    </row>
    <row r="27" spans="1:11" x14ac:dyDescent="0.25">
      <c r="A27" s="6"/>
    </row>
    <row r="28" spans="1:11" x14ac:dyDescent="0.25">
      <c r="A28" s="6" t="s">
        <v>1539</v>
      </c>
    </row>
    <row r="29" spans="1:11" x14ac:dyDescent="0.25">
      <c r="A29" t="s">
        <v>1433</v>
      </c>
      <c r="B29" t="s">
        <v>1383</v>
      </c>
      <c r="C29" t="s">
        <v>1434</v>
      </c>
      <c r="D29" t="s">
        <v>1436</v>
      </c>
      <c r="E29" t="s">
        <v>1435</v>
      </c>
    </row>
    <row r="30" spans="1:11" x14ac:dyDescent="0.25">
      <c r="A30" s="6" t="s">
        <v>1424</v>
      </c>
      <c r="B30" s="13">
        <f>B16/B$26</f>
        <v>3.7499999999999999E-2</v>
      </c>
      <c r="C30" s="13">
        <f>E16/$E$26</f>
        <v>0</v>
      </c>
      <c r="D30" s="13">
        <f>H16/$H$26</f>
        <v>0.11538461538461539</v>
      </c>
      <c r="E30" s="13">
        <f>K16/$K$26</f>
        <v>0</v>
      </c>
    </row>
    <row r="31" spans="1:11" x14ac:dyDescent="0.25">
      <c r="A31" s="6" t="s">
        <v>1425</v>
      </c>
      <c r="B31" s="13">
        <f t="shared" ref="B31:B38" si="0">B17/B$26</f>
        <v>2.5000000000000001E-2</v>
      </c>
      <c r="C31" s="13">
        <f t="shared" ref="C31:C38" si="1">E17/$E$26</f>
        <v>0</v>
      </c>
      <c r="D31" s="13">
        <f t="shared" ref="D31:D38" si="2">H17/$H$26</f>
        <v>7.6923076923076927E-2</v>
      </c>
      <c r="E31" s="13">
        <f t="shared" ref="E31:E38" si="3">K17/$K$26</f>
        <v>0</v>
      </c>
    </row>
    <row r="32" spans="1:11" x14ac:dyDescent="0.25">
      <c r="A32" s="6" t="s">
        <v>1426</v>
      </c>
      <c r="B32" s="13">
        <f t="shared" si="0"/>
        <v>0.05</v>
      </c>
      <c r="C32" s="13">
        <f t="shared" si="1"/>
        <v>0.14814814814814814</v>
      </c>
      <c r="D32" s="13">
        <f t="shared" si="2"/>
        <v>0</v>
      </c>
      <c r="E32" s="13">
        <f t="shared" si="3"/>
        <v>0</v>
      </c>
    </row>
    <row r="33" spans="1:5" x14ac:dyDescent="0.25">
      <c r="A33" s="6" t="s">
        <v>1427</v>
      </c>
      <c r="B33" s="13">
        <f t="shared" si="0"/>
        <v>7.4999999999999997E-2</v>
      </c>
      <c r="C33" s="13">
        <f t="shared" si="1"/>
        <v>0.14814814814814814</v>
      </c>
      <c r="D33" s="13">
        <f t="shared" si="2"/>
        <v>7.6923076923076927E-2</v>
      </c>
      <c r="E33" s="13">
        <f t="shared" si="3"/>
        <v>0</v>
      </c>
    </row>
    <row r="34" spans="1:5" x14ac:dyDescent="0.25">
      <c r="A34" s="6" t="s">
        <v>1428</v>
      </c>
      <c r="B34" s="13">
        <f t="shared" si="0"/>
        <v>0.1</v>
      </c>
      <c r="C34" s="13">
        <f t="shared" si="1"/>
        <v>0.22222222222222221</v>
      </c>
      <c r="D34" s="13">
        <f t="shared" si="2"/>
        <v>7.6923076923076927E-2</v>
      </c>
      <c r="E34" s="13">
        <f t="shared" si="3"/>
        <v>0</v>
      </c>
    </row>
    <row r="35" spans="1:5" x14ac:dyDescent="0.25">
      <c r="A35" s="6" t="s">
        <v>1429</v>
      </c>
      <c r="B35" s="13">
        <f t="shared" si="0"/>
        <v>0.23749999999999999</v>
      </c>
      <c r="C35" s="13">
        <f t="shared" si="1"/>
        <v>0.25925925925925924</v>
      </c>
      <c r="D35" s="13">
        <f t="shared" si="2"/>
        <v>0.26923076923076922</v>
      </c>
      <c r="E35" s="13">
        <f t="shared" si="3"/>
        <v>0.18518518518518517</v>
      </c>
    </row>
    <row r="36" spans="1:5" x14ac:dyDescent="0.25">
      <c r="A36" s="6" t="s">
        <v>1430</v>
      </c>
      <c r="B36" s="13">
        <f t="shared" si="0"/>
        <v>0.13750000000000001</v>
      </c>
      <c r="C36" s="13">
        <f t="shared" si="1"/>
        <v>3.7037037037037035E-2</v>
      </c>
      <c r="D36" s="13">
        <f t="shared" si="2"/>
        <v>0.23076923076923078</v>
      </c>
      <c r="E36" s="13">
        <f t="shared" si="3"/>
        <v>0.14814814814814814</v>
      </c>
    </row>
    <row r="37" spans="1:5" x14ac:dyDescent="0.25">
      <c r="A37" s="6" t="s">
        <v>1431</v>
      </c>
      <c r="B37" s="13">
        <f t="shared" si="0"/>
        <v>0.27500000000000002</v>
      </c>
      <c r="C37" s="13">
        <f t="shared" si="1"/>
        <v>0.18518518518518517</v>
      </c>
      <c r="D37" s="13">
        <f t="shared" si="2"/>
        <v>0.11538461538461539</v>
      </c>
      <c r="E37" s="13">
        <f t="shared" si="3"/>
        <v>0.51851851851851849</v>
      </c>
    </row>
    <row r="38" spans="1:5" x14ac:dyDescent="0.25">
      <c r="A38" s="6" t="s">
        <v>1432</v>
      </c>
      <c r="B38" s="13">
        <f t="shared" si="0"/>
        <v>0.05</v>
      </c>
      <c r="C38" s="13">
        <f t="shared" si="1"/>
        <v>0</v>
      </c>
      <c r="D38" s="13">
        <f t="shared" si="2"/>
        <v>3.8461538461538464E-2</v>
      </c>
      <c r="E38" s="13">
        <f t="shared" si="3"/>
        <v>0.1111111111111111</v>
      </c>
    </row>
    <row r="39" spans="1:5" x14ac:dyDescent="0.25">
      <c r="A39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D9F9-A067-9446-B033-D61EEE6B733C}">
  <dimension ref="A1:Y53"/>
  <sheetViews>
    <sheetView topLeftCell="A25" workbookViewId="0">
      <selection activeCell="G50" sqref="G50:J53"/>
    </sheetView>
  </sheetViews>
  <sheetFormatPr defaultColWidth="11.42578125" defaultRowHeight="15" x14ac:dyDescent="0.25"/>
  <cols>
    <col min="8" max="8" width="11.85546875" bestFit="1" customWidth="1"/>
    <col min="9" max="9" width="11.5703125" bestFit="1" customWidth="1"/>
    <col min="10" max="10" width="12.28515625" bestFit="1" customWidth="1"/>
    <col min="15" max="15" width="28.42578125" customWidth="1"/>
    <col min="19" max="19" width="21.7109375" customWidth="1"/>
  </cols>
  <sheetData>
    <row r="1" spans="1:25" x14ac:dyDescent="0.25">
      <c r="A1" t="s">
        <v>1489</v>
      </c>
    </row>
    <row r="2" spans="1:25" x14ac:dyDescent="0.25">
      <c r="G2" t="s">
        <v>1469</v>
      </c>
      <c r="K2" s="14"/>
      <c r="L2" s="14" t="s">
        <v>1480</v>
      </c>
      <c r="M2" s="14" t="s">
        <v>1387</v>
      </c>
    </row>
    <row r="3" spans="1:25" x14ac:dyDescent="0.25">
      <c r="B3" t="s">
        <v>1435</v>
      </c>
      <c r="C3" t="s">
        <v>1436</v>
      </c>
      <c r="D3" t="s">
        <v>1434</v>
      </c>
      <c r="G3" t="s">
        <v>1435</v>
      </c>
      <c r="H3" t="s">
        <v>1436</v>
      </c>
      <c r="I3" t="s">
        <v>1434</v>
      </c>
      <c r="K3" s="14" t="s">
        <v>1435</v>
      </c>
      <c r="L3" s="14">
        <v>4.3170141333498781E-3</v>
      </c>
      <c r="M3" s="14">
        <v>26</v>
      </c>
    </row>
    <row r="4" spans="1:25" x14ac:dyDescent="0.25">
      <c r="B4">
        <v>0.96131147203288581</v>
      </c>
      <c r="C4">
        <v>0.9096044797406222</v>
      </c>
      <c r="D4">
        <v>0.82313456909767047</v>
      </c>
      <c r="G4">
        <f>_xlfn.VAR.S(B4:B29)</f>
        <v>4.3170141333498781E-3</v>
      </c>
      <c r="H4">
        <f>_xlfn.VAR.S(C4:C30)</f>
        <v>3.145128910395064E-2</v>
      </c>
      <c r="I4">
        <f>_xlfn.VAR.S(D4:D30)</f>
        <v>1.5327687190098967E-2</v>
      </c>
      <c r="K4" s="14" t="s">
        <v>1436</v>
      </c>
      <c r="L4" s="14">
        <v>3.145128910395064E-2</v>
      </c>
      <c r="M4" s="14">
        <v>27</v>
      </c>
    </row>
    <row r="5" spans="1:25" x14ac:dyDescent="0.25">
      <c r="B5">
        <v>0.97310730133488987</v>
      </c>
      <c r="C5">
        <v>1.0991592151115199</v>
      </c>
      <c r="D5">
        <v>0.80665474734783871</v>
      </c>
      <c r="K5" s="14" t="s">
        <v>1434</v>
      </c>
      <c r="L5" s="14">
        <v>1.5327687190098967E-2</v>
      </c>
      <c r="M5" s="14">
        <v>27</v>
      </c>
      <c r="O5" t="s">
        <v>1494</v>
      </c>
      <c r="S5" t="s">
        <v>1494</v>
      </c>
      <c r="W5" t="s">
        <v>1494</v>
      </c>
    </row>
    <row r="6" spans="1:25" ht="15.75" thickBot="1" x14ac:dyDescent="0.3">
      <c r="B6">
        <v>0.82456469336869687</v>
      </c>
      <c r="C6">
        <v>0.90750238136135797</v>
      </c>
      <c r="D6">
        <v>0.81229288695106849</v>
      </c>
      <c r="G6" t="s">
        <v>1387</v>
      </c>
    </row>
    <row r="7" spans="1:25" x14ac:dyDescent="0.25">
      <c r="B7">
        <v>0.83014906007803291</v>
      </c>
      <c r="C7">
        <v>0.99557675685245373</v>
      </c>
      <c r="D7">
        <v>0.81691703470526222</v>
      </c>
      <c r="G7" t="s">
        <v>1435</v>
      </c>
      <c r="H7" t="s">
        <v>1436</v>
      </c>
      <c r="I7" t="s">
        <v>1434</v>
      </c>
      <c r="O7" s="8"/>
      <c r="P7" s="8" t="s">
        <v>1435</v>
      </c>
      <c r="Q7" s="8" t="s">
        <v>1436</v>
      </c>
      <c r="S7" s="8"/>
      <c r="T7" s="8" t="s">
        <v>1435</v>
      </c>
      <c r="U7" s="8" t="s">
        <v>1434</v>
      </c>
      <c r="W7" s="8"/>
      <c r="X7" s="8" t="s">
        <v>1436</v>
      </c>
      <c r="Y7" s="8" t="s">
        <v>1434</v>
      </c>
    </row>
    <row r="8" spans="1:25" x14ac:dyDescent="0.25">
      <c r="B8">
        <v>0.84250890036431014</v>
      </c>
      <c r="C8">
        <v>1.0293968278304799</v>
      </c>
      <c r="D8">
        <v>0.89645316229754601</v>
      </c>
      <c r="G8">
        <f>COUNT(B4:B29)</f>
        <v>26</v>
      </c>
      <c r="H8">
        <f>COUNT(C4:C30)</f>
        <v>27</v>
      </c>
      <c r="I8">
        <f>COUNT(D4:D30)</f>
        <v>27</v>
      </c>
      <c r="O8" t="s">
        <v>1388</v>
      </c>
      <c r="P8">
        <v>0.93706694582882122</v>
      </c>
      <c r="Q8">
        <v>0.78892807335113657</v>
      </c>
      <c r="S8" t="s">
        <v>1388</v>
      </c>
      <c r="T8">
        <v>0.93706694582882122</v>
      </c>
      <c r="U8">
        <v>0.76890841024902179</v>
      </c>
      <c r="W8" t="s">
        <v>1388</v>
      </c>
      <c r="X8">
        <v>0.78892807335113657</v>
      </c>
      <c r="Y8">
        <v>0.76890841024902179</v>
      </c>
    </row>
    <row r="9" spans="1:25" x14ac:dyDescent="0.25">
      <c r="B9">
        <v>0.95078037514654157</v>
      </c>
      <c r="C9">
        <v>0.74765985311219851</v>
      </c>
      <c r="D9">
        <v>0.74393593046378947</v>
      </c>
      <c r="O9" t="s">
        <v>1480</v>
      </c>
      <c r="P9">
        <v>4.3170141333498781E-3</v>
      </c>
      <c r="Q9">
        <v>3.145128910395064E-2</v>
      </c>
      <c r="S9" t="s">
        <v>1480</v>
      </c>
      <c r="T9">
        <v>4.3170141333498781E-3</v>
      </c>
      <c r="U9">
        <v>1.5327687190098967E-2</v>
      </c>
      <c r="W9" t="s">
        <v>1480</v>
      </c>
      <c r="X9">
        <v>3.145128910395064E-2</v>
      </c>
      <c r="Y9">
        <v>1.5327687190098967E-2</v>
      </c>
    </row>
    <row r="10" spans="1:25" x14ac:dyDescent="0.25">
      <c r="B10">
        <v>0.92043993760483378</v>
      </c>
      <c r="C10">
        <v>0.94171912667068891</v>
      </c>
      <c r="D10">
        <v>0.80232293194961446</v>
      </c>
      <c r="O10" t="s">
        <v>1397</v>
      </c>
      <c r="P10">
        <v>26</v>
      </c>
      <c r="Q10">
        <v>27</v>
      </c>
      <c r="S10" t="s">
        <v>1397</v>
      </c>
      <c r="T10">
        <v>26</v>
      </c>
      <c r="U10">
        <v>27</v>
      </c>
      <c r="W10" t="s">
        <v>1397</v>
      </c>
      <c r="X10">
        <v>27</v>
      </c>
      <c r="Y10">
        <v>27</v>
      </c>
    </row>
    <row r="11" spans="1:25" x14ac:dyDescent="0.25">
      <c r="B11">
        <v>0.97351588060248362</v>
      </c>
      <c r="C11">
        <v>0.83068332578979531</v>
      </c>
      <c r="D11">
        <v>0.70847724008947577</v>
      </c>
      <c r="G11" s="14" t="s">
        <v>1490</v>
      </c>
      <c r="H11" s="14"/>
      <c r="I11" s="14"/>
      <c r="O11" t="s">
        <v>1495</v>
      </c>
      <c r="P11">
        <v>0</v>
      </c>
      <c r="S11" t="s">
        <v>1495</v>
      </c>
      <c r="T11">
        <v>0</v>
      </c>
      <c r="W11" t="s">
        <v>1495</v>
      </c>
      <c r="X11">
        <v>0</v>
      </c>
    </row>
    <row r="12" spans="1:25" x14ac:dyDescent="0.25">
      <c r="B12">
        <v>0.97000635391295142</v>
      </c>
      <c r="C12">
        <v>0.81881908416994753</v>
      </c>
      <c r="D12">
        <v>0.66420471988704544</v>
      </c>
      <c r="G12" s="14"/>
      <c r="H12" s="14" t="s">
        <v>1435</v>
      </c>
      <c r="I12" s="14" t="s">
        <v>1436</v>
      </c>
      <c r="O12" t="s">
        <v>1403</v>
      </c>
      <c r="P12">
        <v>33</v>
      </c>
      <c r="S12" t="s">
        <v>1403</v>
      </c>
      <c r="T12">
        <v>40</v>
      </c>
      <c r="W12" t="s">
        <v>1403</v>
      </c>
      <c r="X12">
        <v>46</v>
      </c>
    </row>
    <row r="13" spans="1:25" x14ac:dyDescent="0.25">
      <c r="B13">
        <v>1.0333880660833936</v>
      </c>
      <c r="C13">
        <v>0.85124912867882008</v>
      </c>
      <c r="D13">
        <v>0.67668243829190799</v>
      </c>
      <c r="G13" s="14" t="s">
        <v>1436</v>
      </c>
      <c r="H13" s="28">
        <f>L3/L4</f>
        <v>0.13726032402301794</v>
      </c>
      <c r="I13" s="28"/>
      <c r="O13" t="s">
        <v>1409</v>
      </c>
      <c r="P13">
        <v>4.0606547599841134</v>
      </c>
      <c r="S13" t="s">
        <v>1409</v>
      </c>
      <c r="T13">
        <v>6.2079819564298138</v>
      </c>
      <c r="W13" t="s">
        <v>1409</v>
      </c>
      <c r="X13">
        <v>0.48096479656823105</v>
      </c>
    </row>
    <row r="14" spans="1:25" x14ac:dyDescent="0.25">
      <c r="B14">
        <v>0.82697733456333122</v>
      </c>
      <c r="C14">
        <v>0.81321441570076702</v>
      </c>
      <c r="D14">
        <v>0.59272337202460712</v>
      </c>
      <c r="G14" s="14" t="s">
        <v>1434</v>
      </c>
      <c r="H14" s="28">
        <f>L3/L5</f>
        <v>0.28164811036452292</v>
      </c>
      <c r="I14" s="28">
        <f>L4/L5</f>
        <v>2.0519266027471406</v>
      </c>
      <c r="O14" t="s">
        <v>1496</v>
      </c>
      <c r="P14">
        <v>1.4157291353843798E-4</v>
      </c>
      <c r="S14" t="s">
        <v>1496</v>
      </c>
      <c r="T14">
        <v>1.2052602044908726E-7</v>
      </c>
      <c r="W14" t="s">
        <v>1496</v>
      </c>
      <c r="X14">
        <v>0.31641070062649823</v>
      </c>
    </row>
    <row r="15" spans="1:25" x14ac:dyDescent="0.25">
      <c r="B15">
        <v>0.91691534070828062</v>
      </c>
      <c r="C15">
        <v>0.85187419849456381</v>
      </c>
      <c r="D15">
        <v>0.58570957531494905</v>
      </c>
      <c r="O15" t="s">
        <v>1497</v>
      </c>
      <c r="P15">
        <v>1.6923603090303456</v>
      </c>
      <c r="S15" t="s">
        <v>1497</v>
      </c>
      <c r="T15">
        <v>1.6838510133356521</v>
      </c>
      <c r="W15" t="s">
        <v>1497</v>
      </c>
      <c r="X15">
        <v>1.678660413556865</v>
      </c>
    </row>
    <row r="16" spans="1:25" x14ac:dyDescent="0.25">
      <c r="B16">
        <v>0.87966177977890037</v>
      </c>
      <c r="C16">
        <v>0.84705862752765693</v>
      </c>
      <c r="D16">
        <v>0.59927574702797526</v>
      </c>
      <c r="O16" t="s">
        <v>1498</v>
      </c>
      <c r="P16">
        <v>2.8314582707687595E-4</v>
      </c>
      <c r="S16" t="s">
        <v>1498</v>
      </c>
      <c r="T16">
        <v>2.4105204089817451E-7</v>
      </c>
      <c r="W16" t="s">
        <v>1498</v>
      </c>
      <c r="X16">
        <v>0.63282140125299646</v>
      </c>
    </row>
    <row r="17" spans="2:25" ht="15.75" thickBot="1" x14ac:dyDescent="0.3">
      <c r="B17">
        <v>0.94159110392945733</v>
      </c>
      <c r="C17">
        <v>0.87160472584399917</v>
      </c>
      <c r="D17">
        <v>0.59639727461570413</v>
      </c>
      <c r="G17" s="14" t="s">
        <v>1491</v>
      </c>
      <c r="H17" s="14"/>
      <c r="I17" s="14"/>
      <c r="O17" s="7" t="s">
        <v>1499</v>
      </c>
      <c r="P17" s="7">
        <v>2.0345152974493397</v>
      </c>
      <c r="Q17" s="7"/>
      <c r="S17" s="7" t="s">
        <v>1499</v>
      </c>
      <c r="T17" s="7">
        <v>2.0210753903062737</v>
      </c>
      <c r="U17" s="7"/>
      <c r="W17" s="7" t="s">
        <v>1499</v>
      </c>
      <c r="X17" s="7">
        <v>2.0128955989194299</v>
      </c>
      <c r="Y17" s="7"/>
    </row>
    <row r="18" spans="2:25" x14ac:dyDescent="0.25">
      <c r="B18">
        <v>0.98611877389755065</v>
      </c>
      <c r="C18">
        <v>0.67896377172528399</v>
      </c>
      <c r="D18">
        <v>0.63033084477681867</v>
      </c>
      <c r="G18" s="14"/>
      <c r="H18" s="14" t="s">
        <v>1435</v>
      </c>
      <c r="I18" s="14" t="s">
        <v>1436</v>
      </c>
    </row>
    <row r="19" spans="2:25" x14ac:dyDescent="0.25">
      <c r="B19">
        <v>0.97603252228422344</v>
      </c>
      <c r="C19">
        <v>0.6988099275433477</v>
      </c>
      <c r="D19">
        <v>0.68967624471305267</v>
      </c>
      <c r="G19" s="14" t="s">
        <v>1436</v>
      </c>
      <c r="H19" s="29">
        <f>_xlfn.F.DIST(H13,G8-1,H8-1,1)</f>
        <v>2.072535718860205E-6</v>
      </c>
      <c r="I19" s="29"/>
    </row>
    <row r="20" spans="2:25" x14ac:dyDescent="0.25">
      <c r="B20">
        <v>0.93110018216505108</v>
      </c>
      <c r="C20">
        <v>0.72919736268954694</v>
      </c>
      <c r="D20">
        <v>0.70525718709339769</v>
      </c>
      <c r="G20" s="14" t="s">
        <v>1434</v>
      </c>
      <c r="H20" s="29">
        <f>_xlfn.F.DIST(H14,G8-1,I8-1,1)</f>
        <v>1.1180623003102825E-3</v>
      </c>
      <c r="I20" s="29">
        <f>_xlfn.F.DIST(I14,H8-1,I8-1,1)</f>
        <v>0.96376869288843736</v>
      </c>
      <c r="O20" t="s">
        <v>1504</v>
      </c>
      <c r="P20" t="e" cm="1">
        <f t="array" aca="1" ref="P20" ca="1">SQRT(H42(P9/P10)+(Q9/Q10))*P17</f>
        <v>#REF!</v>
      </c>
      <c r="S20" t="s">
        <v>1504</v>
      </c>
      <c r="T20">
        <f>SQRT((T9/T10)+(U9/U10))*T17</f>
        <v>5.474582244529063E-2</v>
      </c>
      <c r="W20" t="s">
        <v>1504</v>
      </c>
      <c r="X20">
        <f>SQRT((X9/X10)+(Y9/Y10))*X17</f>
        <v>8.3784701162385025E-2</v>
      </c>
    </row>
    <row r="21" spans="2:25" x14ac:dyDescent="0.25">
      <c r="B21">
        <v>0.96845255442268274</v>
      </c>
      <c r="C21">
        <v>0.47096724952536373</v>
      </c>
      <c r="D21">
        <v>0.7271028605063844</v>
      </c>
      <c r="O21" t="s">
        <v>1502</v>
      </c>
      <c r="P21" t="e">
        <f ca="1">P8-Q8+P20</f>
        <v>#REF!</v>
      </c>
      <c r="S21" t="s">
        <v>1502</v>
      </c>
      <c r="T21">
        <f>T8-U8+T20</f>
        <v>0.22290435802509007</v>
      </c>
      <c r="W21" t="s">
        <v>1502</v>
      </c>
      <c r="X21">
        <f>X8-Y8+X20</f>
        <v>0.10380436426449981</v>
      </c>
    </row>
    <row r="22" spans="2:25" x14ac:dyDescent="0.25">
      <c r="B22">
        <v>1.045809441816695</v>
      </c>
      <c r="C22">
        <v>0.44641571903652894</v>
      </c>
      <c r="D22">
        <v>0.71683257951068369</v>
      </c>
      <c r="O22" t="s">
        <v>1503</v>
      </c>
      <c r="P22" t="e">
        <f ca="1">P8-Q8-P20</f>
        <v>#REF!</v>
      </c>
      <c r="S22" t="s">
        <v>1503</v>
      </c>
      <c r="T22">
        <f>T8-U8-T20</f>
        <v>0.11341271313450879</v>
      </c>
      <c r="W22" t="s">
        <v>1503</v>
      </c>
      <c r="X22">
        <f>X8-Y8-X20</f>
        <v>-6.3765038060270243E-2</v>
      </c>
    </row>
    <row r="23" spans="2:25" x14ac:dyDescent="0.25">
      <c r="B23">
        <v>0.905324651814293</v>
      </c>
      <c r="C23">
        <v>0.46687931725725051</v>
      </c>
      <c r="D23">
        <v>0.81821053795425447</v>
      </c>
      <c r="G23" s="14" t="s">
        <v>1492</v>
      </c>
      <c r="H23" s="14"/>
      <c r="I23" s="14"/>
      <c r="J23" s="14"/>
      <c r="K23" s="14"/>
    </row>
    <row r="24" spans="2:25" x14ac:dyDescent="0.25">
      <c r="B24">
        <v>0.82460694837794091</v>
      </c>
      <c r="C24">
        <v>0.49378446297945855</v>
      </c>
      <c r="D24">
        <v>0.99087827556597541</v>
      </c>
      <c r="G24" s="14"/>
      <c r="H24" s="14" t="s">
        <v>1435</v>
      </c>
      <c r="I24" s="14" t="s">
        <v>1436</v>
      </c>
      <c r="J24" s="14"/>
      <c r="K24" s="14"/>
    </row>
    <row r="25" spans="2:25" x14ac:dyDescent="0.25">
      <c r="B25">
        <v>0.98537597677911637</v>
      </c>
      <c r="C25">
        <v>0.51744125252815487</v>
      </c>
      <c r="D25">
        <v>0.94972539276772483</v>
      </c>
      <c r="G25" s="14" t="s">
        <v>1436</v>
      </c>
      <c r="H25" s="14" t="str">
        <f>IF(OR(H19&lt;0.05,H19&gt;0.95),"Reject","F.T.R")</f>
        <v>Reject</v>
      </c>
      <c r="I25" s="14"/>
      <c r="J25" s="14"/>
      <c r="K25" s="14"/>
    </row>
    <row r="26" spans="2:25" x14ac:dyDescent="0.25">
      <c r="B26">
        <v>0.94009103792086846</v>
      </c>
      <c r="C26">
        <v>0.7956998782460819</v>
      </c>
      <c r="D26">
        <v>0.97724445391128134</v>
      </c>
      <c r="G26" s="14" t="s">
        <v>1434</v>
      </c>
      <c r="H26" s="14" t="str">
        <f>IF(OR(H20&lt;0.05,H20&gt;0.95),"Reject","F.T.R")</f>
        <v>Reject</v>
      </c>
      <c r="I26" s="14" t="str">
        <f>IF(OR(I20&lt;0.05,I20&gt;0.95),"Reject","F.T.R")</f>
        <v>Reject</v>
      </c>
      <c r="J26" s="14"/>
      <c r="K26" s="14"/>
    </row>
    <row r="27" spans="2:25" x14ac:dyDescent="0.25">
      <c r="B27">
        <v>0.95218910095429432</v>
      </c>
      <c r="C27">
        <v>0.82481095587010278</v>
      </c>
      <c r="D27">
        <v>0.95019001690154248</v>
      </c>
    </row>
    <row r="28" spans="2:25" x14ac:dyDescent="0.25">
      <c r="B28">
        <v>1.0443984621068385</v>
      </c>
      <c r="C28">
        <v>0.84479984125757479</v>
      </c>
      <c r="D28">
        <v>0.94359670714959187</v>
      </c>
      <c r="H28" t="s">
        <v>1493</v>
      </c>
    </row>
    <row r="29" spans="2:25" x14ac:dyDescent="0.25">
      <c r="B29">
        <v>0.95932333950081183</v>
      </c>
      <c r="C29">
        <v>0.85454799392169789</v>
      </c>
      <c r="D29">
        <v>0.7518977910032798</v>
      </c>
    </row>
    <row r="30" spans="2:25" x14ac:dyDescent="0.25">
      <c r="C30">
        <v>0.96361810101542533</v>
      </c>
      <c r="D30">
        <v>0.7844025548051492</v>
      </c>
    </row>
    <row r="31" spans="2:25" x14ac:dyDescent="0.25">
      <c r="G31" s="14" t="s">
        <v>1500</v>
      </c>
      <c r="H31" s="14"/>
      <c r="I31" s="14"/>
      <c r="J31" s="14"/>
      <c r="K31" s="14"/>
    </row>
    <row r="32" spans="2:25" x14ac:dyDescent="0.25">
      <c r="G32" s="14" t="s">
        <v>1501</v>
      </c>
      <c r="H32" s="14"/>
      <c r="I32" s="14"/>
      <c r="J32" s="14"/>
      <c r="K32" s="14"/>
    </row>
    <row r="33" spans="7:12" x14ac:dyDescent="0.25">
      <c r="G33" s="14"/>
      <c r="H33" s="14"/>
      <c r="I33" s="14" t="s">
        <v>1435</v>
      </c>
      <c r="J33" s="14" t="s">
        <v>1436</v>
      </c>
      <c r="K33" s="14"/>
      <c r="L33">
        <v>1.1180623003102825E-3</v>
      </c>
    </row>
    <row r="34" spans="7:12" x14ac:dyDescent="0.25">
      <c r="G34" s="14" t="s">
        <v>1436</v>
      </c>
      <c r="H34" s="14" t="s">
        <v>1502</v>
      </c>
      <c r="I34" s="15">
        <v>0.22236109032610019</v>
      </c>
      <c r="J34" s="15"/>
      <c r="K34" s="14"/>
    </row>
    <row r="35" spans="7:12" x14ac:dyDescent="0.25">
      <c r="G35" s="14"/>
      <c r="H35" s="14" t="s">
        <v>1503</v>
      </c>
      <c r="I35" s="15">
        <v>7.3916654629269107E-2</v>
      </c>
      <c r="J35" s="15"/>
      <c r="K35" s="14"/>
    </row>
    <row r="36" spans="7:12" x14ac:dyDescent="0.25">
      <c r="G36" s="14" t="s">
        <v>1434</v>
      </c>
      <c r="H36" s="14" t="s">
        <v>1502</v>
      </c>
      <c r="I36" s="15">
        <v>0.22290435802509007</v>
      </c>
      <c r="J36" s="15">
        <v>0.10380436426449981</v>
      </c>
      <c r="K36" s="14"/>
    </row>
    <row r="37" spans="7:12" x14ac:dyDescent="0.25">
      <c r="G37" s="14"/>
      <c r="H37" s="14" t="s">
        <v>1503</v>
      </c>
      <c r="I37" s="15">
        <v>0.11341271313450879</v>
      </c>
      <c r="J37" s="15">
        <v>-6.3765038060270243E-2</v>
      </c>
      <c r="K37" s="14"/>
    </row>
    <row r="39" spans="7:12" x14ac:dyDescent="0.25">
      <c r="G39" s="14" t="s">
        <v>1505</v>
      </c>
      <c r="H39" s="14"/>
      <c r="I39" s="14"/>
      <c r="J39" s="14"/>
    </row>
    <row r="40" spans="7:12" x14ac:dyDescent="0.25">
      <c r="G40" s="14" t="s">
        <v>1506</v>
      </c>
      <c r="H40" s="14"/>
      <c r="I40" s="14"/>
      <c r="J40" s="14"/>
    </row>
    <row r="41" spans="7:12" x14ac:dyDescent="0.25">
      <c r="G41" s="14"/>
      <c r="H41" s="14" t="s">
        <v>1435</v>
      </c>
      <c r="I41" s="14" t="s">
        <v>1436</v>
      </c>
      <c r="J41" s="14"/>
    </row>
    <row r="42" spans="7:12" x14ac:dyDescent="0.25">
      <c r="G42" s="14" t="s">
        <v>1436</v>
      </c>
      <c r="H42" s="28">
        <f>P13</f>
        <v>4.0606547599841134</v>
      </c>
      <c r="I42" s="28"/>
      <c r="J42" s="14"/>
    </row>
    <row r="43" spans="7:12" x14ac:dyDescent="0.25">
      <c r="G43" s="14" t="s">
        <v>1434</v>
      </c>
      <c r="H43" s="28">
        <f>T13</f>
        <v>6.2079819564298138</v>
      </c>
      <c r="I43" s="28">
        <f>X13</f>
        <v>0.48096479656823105</v>
      </c>
      <c r="J43" s="14"/>
    </row>
    <row r="45" spans="7:12" x14ac:dyDescent="0.25">
      <c r="G45" s="14" t="s">
        <v>1491</v>
      </c>
      <c r="H45" s="14"/>
      <c r="I45" s="14"/>
    </row>
    <row r="46" spans="7:12" x14ac:dyDescent="0.25">
      <c r="G46" s="14"/>
      <c r="H46" s="14" t="s">
        <v>1435</v>
      </c>
      <c r="I46" s="14" t="s">
        <v>1507</v>
      </c>
    </row>
    <row r="47" spans="7:12" x14ac:dyDescent="0.25">
      <c r="G47" s="14" t="s">
        <v>1436</v>
      </c>
      <c r="H47" s="30">
        <f>P16</f>
        <v>2.8314582707687595E-4</v>
      </c>
      <c r="I47" s="27"/>
    </row>
    <row r="48" spans="7:12" x14ac:dyDescent="0.25">
      <c r="G48" s="14" t="s">
        <v>1434</v>
      </c>
      <c r="H48" s="30">
        <v>2.41E-7</v>
      </c>
      <c r="I48" s="28">
        <f>X16</f>
        <v>0.63282140125299646</v>
      </c>
    </row>
    <row r="50" spans="7:10" x14ac:dyDescent="0.25">
      <c r="G50" s="14" t="s">
        <v>1508</v>
      </c>
      <c r="H50" s="14"/>
      <c r="I50" s="14"/>
      <c r="J50" s="14"/>
    </row>
    <row r="51" spans="7:10" x14ac:dyDescent="0.25">
      <c r="G51" s="14"/>
      <c r="H51" s="14" t="s">
        <v>1435</v>
      </c>
      <c r="I51" s="14" t="s">
        <v>1436</v>
      </c>
      <c r="J51" s="14"/>
    </row>
    <row r="52" spans="7:10" x14ac:dyDescent="0.25">
      <c r="G52" s="14" t="s">
        <v>1436</v>
      </c>
      <c r="H52" s="14" t="str">
        <f>IF(H47&lt;0.05,"Reject","F.T.R.")</f>
        <v>Reject</v>
      </c>
      <c r="I52" s="14"/>
      <c r="J52" s="14"/>
    </row>
    <row r="53" spans="7:10" x14ac:dyDescent="0.25">
      <c r="G53" s="14" t="s">
        <v>1434</v>
      </c>
      <c r="H53" s="14" t="str">
        <f>IF(H48&lt;0.05,"Reject","F.T.R.")</f>
        <v>Reject</v>
      </c>
      <c r="I53" s="14" t="str">
        <f>IF(I48&lt;0.05,"Reject","F.T.R.")</f>
        <v>F.T.R.</v>
      </c>
      <c r="J53" s="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D813-F541-4D49-ACA7-EE7F7A768A23}">
  <dimension ref="A1:AR62"/>
  <sheetViews>
    <sheetView zoomScale="62" zoomScaleNormal="62" workbookViewId="0">
      <selection activeCell="K30" sqref="K30"/>
    </sheetView>
  </sheetViews>
  <sheetFormatPr defaultColWidth="8.85546875" defaultRowHeight="15" x14ac:dyDescent="0.25"/>
  <cols>
    <col min="8" max="9" width="9.28515625" bestFit="1" customWidth="1"/>
    <col min="13" max="14" width="9.28515625" bestFit="1" customWidth="1"/>
    <col min="16" max="17" width="9.28515625" bestFit="1" customWidth="1"/>
    <col min="19" max="20" width="9.28515625" bestFit="1" customWidth="1"/>
    <col min="24" max="24" width="18" bestFit="1" customWidth="1"/>
    <col min="25" max="27" width="9.28515625" bestFit="1" customWidth="1"/>
    <col min="28" max="29" width="14.140625" bestFit="1" customWidth="1"/>
    <col min="30" max="32" width="9.28515625" bestFit="1" customWidth="1"/>
    <col min="36" max="36" width="22.7109375" bestFit="1" customWidth="1"/>
  </cols>
  <sheetData>
    <row r="1" spans="1:41" x14ac:dyDescent="0.25">
      <c r="A1" t="s">
        <v>1509</v>
      </c>
      <c r="D1" t="s">
        <v>1510</v>
      </c>
      <c r="G1" t="s">
        <v>1511</v>
      </c>
      <c r="L1" t="s">
        <v>1415</v>
      </c>
      <c r="M1" t="s">
        <v>1509</v>
      </c>
      <c r="P1" t="s">
        <v>1510</v>
      </c>
      <c r="S1" t="s">
        <v>1511</v>
      </c>
    </row>
    <row r="2" spans="1:41" x14ac:dyDescent="0.25">
      <c r="B2" t="s">
        <v>1380</v>
      </c>
      <c r="C2" t="s">
        <v>1381</v>
      </c>
      <c r="E2" t="s">
        <v>1380</v>
      </c>
      <c r="F2" t="s">
        <v>1381</v>
      </c>
      <c r="H2" t="s">
        <v>1380</v>
      </c>
      <c r="I2" t="s">
        <v>1381</v>
      </c>
      <c r="M2" t="s">
        <v>1380</v>
      </c>
      <c r="N2" t="s">
        <v>1381</v>
      </c>
      <c r="P2" t="s">
        <v>1380</v>
      </c>
      <c r="Q2" t="s">
        <v>1381</v>
      </c>
      <c r="S2" t="s">
        <v>1380</v>
      </c>
      <c r="T2" t="s">
        <v>1381</v>
      </c>
      <c r="X2" t="s">
        <v>1535</v>
      </c>
      <c r="AJ2" t="s">
        <v>1509</v>
      </c>
    </row>
    <row r="3" spans="1:41" x14ac:dyDescent="0.25">
      <c r="B3">
        <v>0.96131147203288581</v>
      </c>
      <c r="C3">
        <v>49169.113370343024</v>
      </c>
      <c r="E3">
        <v>0.9096044797406222</v>
      </c>
      <c r="F3">
        <v>42578.369545276182</v>
      </c>
      <c r="H3">
        <v>0.82313456909767047</v>
      </c>
      <c r="I3">
        <v>59848.367360753939</v>
      </c>
      <c r="M3">
        <f>LN(B3)</f>
        <v>-3.9456810107772737E-2</v>
      </c>
      <c r="N3">
        <f>LN(C3)</f>
        <v>10.803020928320345</v>
      </c>
      <c r="P3">
        <f>LN(E3)</f>
        <v>-9.4745411601229665E-2</v>
      </c>
      <c r="Q3">
        <f>LN(F3)</f>
        <v>10.659101646152005</v>
      </c>
      <c r="S3">
        <f>LN(H3)</f>
        <v>-0.19463558122469915</v>
      </c>
      <c r="T3">
        <f>LN(I3)</f>
        <v>10.999569431762815</v>
      </c>
      <c r="X3" t="s">
        <v>1391</v>
      </c>
      <c r="AJ3" t="s">
        <v>1391</v>
      </c>
    </row>
    <row r="4" spans="1:41" ht="15.75" thickBot="1" x14ac:dyDescent="0.3">
      <c r="B4">
        <v>0.97310730133488987</v>
      </c>
      <c r="C4">
        <v>48630.652816287809</v>
      </c>
      <c r="E4">
        <v>1.0991592151115199</v>
      </c>
      <c r="F4">
        <v>42967.35388369501</v>
      </c>
      <c r="H4">
        <v>0.80665474734783871</v>
      </c>
      <c r="I4">
        <v>61999.536490768376</v>
      </c>
      <c r="M4">
        <f t="shared" ref="M4:M28" si="0">LN(B4)</f>
        <v>-2.7260924012175006E-2</v>
      </c>
      <c r="N4">
        <f t="shared" ref="N4:N28" si="1">LN(C4)</f>
        <v>10.792009327455123</v>
      </c>
      <c r="P4">
        <f t="shared" ref="P4:P29" si="2">LN(E4)</f>
        <v>9.4545537641385222E-2</v>
      </c>
      <c r="Q4">
        <f t="shared" ref="Q4:Q29" si="3">LN(F4)</f>
        <v>10.668195894321217</v>
      </c>
      <c r="S4">
        <f t="shared" ref="S4:S29" si="4">LN(H4)</f>
        <v>-0.21485952462375704</v>
      </c>
      <c r="T4">
        <f t="shared" ref="T4:T29" si="5">LN(I4)</f>
        <v>11.034882188043936</v>
      </c>
    </row>
    <row r="5" spans="1:41" x14ac:dyDescent="0.25">
      <c r="B5">
        <v>0.82456469336869687</v>
      </c>
      <c r="C5">
        <v>50947.704589050038</v>
      </c>
      <c r="E5">
        <v>0.90750238136135797</v>
      </c>
      <c r="F5">
        <v>43633.292891614408</v>
      </c>
      <c r="H5">
        <v>0.81229288695106849</v>
      </c>
      <c r="I5">
        <v>63842.272330026542</v>
      </c>
      <c r="M5">
        <f t="shared" si="0"/>
        <v>-0.19289967630232918</v>
      </c>
      <c r="N5">
        <f t="shared" si="1"/>
        <v>10.838554985409298</v>
      </c>
      <c r="P5">
        <f t="shared" si="2"/>
        <v>-9.705908875692347E-2</v>
      </c>
      <c r="Q5">
        <f t="shared" si="3"/>
        <v>10.683575736375696</v>
      </c>
      <c r="S5">
        <f t="shared" si="4"/>
        <v>-0.20789430564082045</v>
      </c>
      <c r="T5">
        <f t="shared" si="5"/>
        <v>11.064170825632253</v>
      </c>
      <c r="X5" s="9" t="s">
        <v>1392</v>
      </c>
      <c r="Y5" s="9"/>
      <c r="AJ5" s="9" t="s">
        <v>1392</v>
      </c>
      <c r="AK5" s="9"/>
    </row>
    <row r="6" spans="1:41" x14ac:dyDescent="0.25">
      <c r="B6">
        <v>0.83014906007803291</v>
      </c>
      <c r="C6">
        <v>53623.496551199649</v>
      </c>
      <c r="E6">
        <v>0.99557675685245373</v>
      </c>
      <c r="F6">
        <v>45312.989460968092</v>
      </c>
      <c r="H6">
        <v>0.81691703470526222</v>
      </c>
      <c r="I6">
        <v>64548.279840838957</v>
      </c>
      <c r="M6">
        <f t="shared" si="0"/>
        <v>-0.18615000386046746</v>
      </c>
      <c r="N6">
        <f t="shared" si="1"/>
        <v>10.889742619496028</v>
      </c>
      <c r="P6">
        <f t="shared" si="2"/>
        <v>-4.4330546305906713E-3</v>
      </c>
      <c r="Q6">
        <f t="shared" si="3"/>
        <v>10.721349013435917</v>
      </c>
      <c r="S6">
        <f t="shared" si="4"/>
        <v>-0.20221773798692272</v>
      </c>
      <c r="T6">
        <f t="shared" si="5"/>
        <v>11.075168747443165</v>
      </c>
      <c r="X6" t="s">
        <v>1393</v>
      </c>
      <c r="Y6">
        <v>5.1808975537027367E-2</v>
      </c>
      <c r="AJ6" t="s">
        <v>1393</v>
      </c>
      <c r="AK6">
        <v>9.8867247780103206E-3</v>
      </c>
    </row>
    <row r="7" spans="1:41" x14ac:dyDescent="0.25">
      <c r="B7">
        <v>0.84250890036431014</v>
      </c>
      <c r="C7">
        <v>55484.859667504665</v>
      </c>
      <c r="E7">
        <v>1.0293968278304799</v>
      </c>
      <c r="F7">
        <v>45968.219738842061</v>
      </c>
      <c r="H7">
        <v>0.89645316229754601</v>
      </c>
      <c r="I7">
        <v>67653.010663745095</v>
      </c>
      <c r="M7">
        <f t="shared" si="0"/>
        <v>-0.17137105258078617</v>
      </c>
      <c r="N7">
        <f t="shared" si="1"/>
        <v>10.923865463734469</v>
      </c>
      <c r="P7">
        <f t="shared" si="2"/>
        <v>2.8973026660445871E-2</v>
      </c>
      <c r="Q7">
        <f t="shared" si="3"/>
        <v>10.735705561464391</v>
      </c>
      <c r="S7">
        <f t="shared" si="4"/>
        <v>-0.10930923236864613</v>
      </c>
      <c r="T7">
        <f t="shared" si="5"/>
        <v>11.122147136137803</v>
      </c>
      <c r="X7" t="s">
        <v>1394</v>
      </c>
      <c r="Y7">
        <v>2.6841699461962998E-3</v>
      </c>
      <c r="AJ7" t="s">
        <v>1394</v>
      </c>
      <c r="AK7">
        <v>9.774732683612324E-5</v>
      </c>
    </row>
    <row r="8" spans="1:41" x14ac:dyDescent="0.25">
      <c r="B8">
        <v>0.95078037514654157</v>
      </c>
      <c r="C8">
        <v>33898.355478431542</v>
      </c>
      <c r="E8">
        <v>0.74765985311219851</v>
      </c>
      <c r="F8">
        <v>45394.972967151334</v>
      </c>
      <c r="H8">
        <v>0.74393593046378947</v>
      </c>
      <c r="I8">
        <v>57455.652095955404</v>
      </c>
      <c r="M8">
        <f t="shared" si="0"/>
        <v>-5.047218406824084E-2</v>
      </c>
      <c r="N8">
        <f t="shared" si="1"/>
        <v>10.431121781231125</v>
      </c>
      <c r="P8">
        <f t="shared" si="2"/>
        <v>-0.29080714626269283</v>
      </c>
      <c r="Q8">
        <f t="shared" si="3"/>
        <v>10.723156650302901</v>
      </c>
      <c r="S8">
        <f t="shared" si="4"/>
        <v>-0.29580036282517685</v>
      </c>
      <c r="T8">
        <f t="shared" si="5"/>
        <v>10.958768661308911</v>
      </c>
      <c r="X8" t="s">
        <v>1395</v>
      </c>
      <c r="Y8">
        <v>-3.8870656306045519E-2</v>
      </c>
      <c r="AJ8" t="s">
        <v>1395</v>
      </c>
      <c r="AK8">
        <v>-4.1564846534545709E-2</v>
      </c>
    </row>
    <row r="9" spans="1:41" x14ac:dyDescent="0.25">
      <c r="B9">
        <v>0.92043993760483378</v>
      </c>
      <c r="C9">
        <v>34766.122078423672</v>
      </c>
      <c r="E9">
        <v>0.94171912667068891</v>
      </c>
      <c r="F9">
        <v>46308.53834582695</v>
      </c>
      <c r="H9">
        <v>0.80232293194961446</v>
      </c>
      <c r="I9">
        <v>59243.148495623878</v>
      </c>
      <c r="M9">
        <f t="shared" si="0"/>
        <v>-8.2903530188178434E-2</v>
      </c>
      <c r="N9">
        <f t="shared" si="1"/>
        <v>10.456398688106709</v>
      </c>
      <c r="P9">
        <f t="shared" si="2"/>
        <v>-6.0048215882650607E-2</v>
      </c>
      <c r="Q9">
        <f t="shared" si="3"/>
        <v>10.743081636589023</v>
      </c>
      <c r="S9">
        <f t="shared" si="4"/>
        <v>-0.22024409386942756</v>
      </c>
      <c r="T9">
        <f t="shared" si="5"/>
        <v>10.989405415106221</v>
      </c>
      <c r="X9" t="s">
        <v>1396</v>
      </c>
      <c r="Y9">
        <v>7.2709430106532524E-2</v>
      </c>
      <c r="AJ9" t="s">
        <v>1396</v>
      </c>
      <c r="AK9">
        <v>6.7055575184245722E-2</v>
      </c>
    </row>
    <row r="10" spans="1:41" ht="15.75" thickBot="1" x14ac:dyDescent="0.3">
      <c r="B10">
        <v>0.97351588060248362</v>
      </c>
      <c r="C10">
        <v>36137.14686589488</v>
      </c>
      <c r="E10">
        <v>0.83068332578979531</v>
      </c>
      <c r="F10">
        <v>48422.438781995021</v>
      </c>
      <c r="H10">
        <v>0.70847724008947577</v>
      </c>
      <c r="I10">
        <v>60420.58320314021</v>
      </c>
      <c r="M10">
        <f t="shared" si="0"/>
        <v>-2.6841141408757114E-2</v>
      </c>
      <c r="N10">
        <f t="shared" si="1"/>
        <v>10.495076614319606</v>
      </c>
      <c r="P10">
        <f t="shared" si="2"/>
        <v>-0.18550663281985263</v>
      </c>
      <c r="Q10">
        <f t="shared" si="3"/>
        <v>10.787718596468499</v>
      </c>
      <c r="S10">
        <f t="shared" si="4"/>
        <v>-0.34463734444717137</v>
      </c>
      <c r="T10">
        <f t="shared" si="5"/>
        <v>11.00908510737902</v>
      </c>
      <c r="X10" s="7" t="s">
        <v>1397</v>
      </c>
      <c r="Y10" s="7">
        <v>26</v>
      </c>
      <c r="AJ10" s="7" t="s">
        <v>1397</v>
      </c>
      <c r="AK10" s="7">
        <v>26</v>
      </c>
    </row>
    <row r="11" spans="1:41" x14ac:dyDescent="0.25">
      <c r="B11">
        <v>0.97000635391295142</v>
      </c>
      <c r="C11">
        <v>38154.284772965279</v>
      </c>
      <c r="E11">
        <v>0.81881908416994753</v>
      </c>
      <c r="F11">
        <v>49493.721270606307</v>
      </c>
      <c r="H11">
        <v>0.66420471988704544</v>
      </c>
      <c r="I11">
        <v>60665.396588799587</v>
      </c>
      <c r="M11">
        <f t="shared" si="0"/>
        <v>-3.0452657080439371E-2</v>
      </c>
      <c r="N11">
        <f t="shared" si="1"/>
        <v>10.54939334424507</v>
      </c>
      <c r="P11">
        <f t="shared" si="2"/>
        <v>-0.19989211798011622</v>
      </c>
      <c r="Q11">
        <f t="shared" si="3"/>
        <v>10.809601097493472</v>
      </c>
      <c r="S11">
        <f t="shared" si="4"/>
        <v>-0.40916486394151513</v>
      </c>
      <c r="T11">
        <f t="shared" si="5"/>
        <v>11.013128741822218</v>
      </c>
    </row>
    <row r="12" spans="1:41" ht="15.75" thickBot="1" x14ac:dyDescent="0.3">
      <c r="B12">
        <v>1.0333880660833936</v>
      </c>
      <c r="C12">
        <v>39961.975639334341</v>
      </c>
      <c r="E12">
        <v>0.85124912867882008</v>
      </c>
      <c r="F12">
        <v>50977.923330932637</v>
      </c>
      <c r="H12">
        <v>0.67668243829190799</v>
      </c>
      <c r="I12">
        <v>61464.365951807777</v>
      </c>
      <c r="M12">
        <f t="shared" si="0"/>
        <v>3.2842788597757154E-2</v>
      </c>
      <c r="N12">
        <f t="shared" si="1"/>
        <v>10.595683671964135</v>
      </c>
      <c r="P12">
        <f t="shared" si="2"/>
        <v>-0.16105044509741739</v>
      </c>
      <c r="Q12">
        <f t="shared" si="3"/>
        <v>10.839147942124594</v>
      </c>
      <c r="S12">
        <f t="shared" si="4"/>
        <v>-0.39055318806548306</v>
      </c>
      <c r="T12">
        <f t="shared" si="5"/>
        <v>11.026212870450868</v>
      </c>
      <c r="X12" t="s">
        <v>1398</v>
      </c>
      <c r="AJ12" t="s">
        <v>1398</v>
      </c>
    </row>
    <row r="13" spans="1:41" x14ac:dyDescent="0.25">
      <c r="B13">
        <v>0.82697733456333122</v>
      </c>
      <c r="C13">
        <v>42781.4792901459</v>
      </c>
      <c r="E13">
        <v>0.81321441570076702</v>
      </c>
      <c r="F13">
        <v>43631.082787290557</v>
      </c>
      <c r="H13">
        <v>0.59272337202460712</v>
      </c>
      <c r="I13">
        <v>48906.145577904113</v>
      </c>
      <c r="M13">
        <f t="shared" si="0"/>
        <v>-0.189977991149822</v>
      </c>
      <c r="N13">
        <f t="shared" si="1"/>
        <v>10.66386056105085</v>
      </c>
      <c r="P13">
        <f t="shared" si="2"/>
        <v>-0.20676047025672803</v>
      </c>
      <c r="Q13">
        <f t="shared" si="3"/>
        <v>10.683525083304334</v>
      </c>
      <c r="S13">
        <f t="shared" si="4"/>
        <v>-0.52302747782154346</v>
      </c>
      <c r="T13">
        <f t="shared" si="5"/>
        <v>10.797658344006098</v>
      </c>
      <c r="X13" s="8"/>
      <c r="Y13" s="8" t="s">
        <v>1403</v>
      </c>
      <c r="Z13" s="8" t="s">
        <v>1404</v>
      </c>
      <c r="AA13" s="8" t="s">
        <v>1405</v>
      </c>
      <c r="AB13" s="8" t="s">
        <v>1406</v>
      </c>
      <c r="AC13" s="8" t="s">
        <v>1407</v>
      </c>
      <c r="AJ13" s="8"/>
      <c r="AK13" s="8" t="s">
        <v>1403</v>
      </c>
      <c r="AL13" s="8" t="s">
        <v>1404</v>
      </c>
      <c r="AM13" s="8" t="s">
        <v>1405</v>
      </c>
      <c r="AN13" s="8" t="s">
        <v>1406</v>
      </c>
      <c r="AO13" s="8" t="s">
        <v>1407</v>
      </c>
    </row>
    <row r="14" spans="1:41" x14ac:dyDescent="0.25">
      <c r="B14">
        <v>0.91691534070828062</v>
      </c>
      <c r="C14">
        <v>44588.918430262027</v>
      </c>
      <c r="E14">
        <v>0.85187419849456381</v>
      </c>
      <c r="F14">
        <v>45054.36087954729</v>
      </c>
      <c r="H14">
        <v>0.58570957531494905</v>
      </c>
      <c r="I14">
        <v>50140.165465440819</v>
      </c>
      <c r="M14">
        <f t="shared" si="0"/>
        <v>-8.6740133006935352E-2</v>
      </c>
      <c r="N14">
        <f t="shared" si="1"/>
        <v>10.705240641446251</v>
      </c>
      <c r="P14">
        <f t="shared" si="2"/>
        <v>-0.1603164174039014</v>
      </c>
      <c r="Q14">
        <f t="shared" si="3"/>
        <v>10.715625059229435</v>
      </c>
      <c r="S14">
        <f t="shared" si="4"/>
        <v>-0.53493121752259831</v>
      </c>
      <c r="T14">
        <f t="shared" si="5"/>
        <v>10.822577671775463</v>
      </c>
      <c r="X14" t="s">
        <v>1399</v>
      </c>
      <c r="Y14">
        <v>1</v>
      </c>
      <c r="Z14">
        <v>3.4148373268444443E-4</v>
      </c>
      <c r="AA14">
        <v>3.4148373268444443E-4</v>
      </c>
      <c r="AB14">
        <v>6.4593458528815123E-2</v>
      </c>
      <c r="AC14">
        <v>0.8015426569058024</v>
      </c>
      <c r="AJ14" t="s">
        <v>1399</v>
      </c>
      <c r="AK14">
        <v>1</v>
      </c>
      <c r="AL14">
        <v>1.0549414786217848E-5</v>
      </c>
      <c r="AM14">
        <v>1.0549414786217848E-5</v>
      </c>
      <c r="AN14">
        <v>2.3461651754411736E-3</v>
      </c>
      <c r="AO14">
        <v>0.96176862691544851</v>
      </c>
    </row>
    <row r="15" spans="1:41" x14ac:dyDescent="0.25">
      <c r="B15">
        <v>0.87966177977890037</v>
      </c>
      <c r="C15">
        <v>46518.911482648677</v>
      </c>
      <c r="E15">
        <v>0.84705862752765693</v>
      </c>
      <c r="F15">
        <v>46975.87749236988</v>
      </c>
      <c r="H15">
        <v>0.59927574702797526</v>
      </c>
      <c r="I15">
        <v>49702.803817214022</v>
      </c>
      <c r="M15">
        <f t="shared" si="0"/>
        <v>-0.12821778654821933</v>
      </c>
      <c r="N15">
        <f t="shared" si="1"/>
        <v>10.747614207447592</v>
      </c>
      <c r="P15">
        <f t="shared" si="2"/>
        <v>-0.16598536886524848</v>
      </c>
      <c r="Q15">
        <f t="shared" si="3"/>
        <v>10.757389504093783</v>
      </c>
      <c r="S15">
        <f t="shared" si="4"/>
        <v>-0.51203344117056337</v>
      </c>
      <c r="T15">
        <f t="shared" si="5"/>
        <v>10.813816625326742</v>
      </c>
      <c r="X15" t="s">
        <v>1400</v>
      </c>
      <c r="Y15">
        <v>24</v>
      </c>
      <c r="Z15">
        <v>0.1268798694340017</v>
      </c>
      <c r="AA15">
        <v>5.2866612264167376E-3</v>
      </c>
      <c r="AJ15" t="s">
        <v>1400</v>
      </c>
      <c r="AK15">
        <v>24</v>
      </c>
      <c r="AL15">
        <v>0.10791480391896074</v>
      </c>
      <c r="AM15">
        <v>4.4964501632900307E-3</v>
      </c>
    </row>
    <row r="16" spans="1:41" ht="15.75" thickBot="1" x14ac:dyDescent="0.3">
      <c r="B16">
        <v>0.94159110392945733</v>
      </c>
      <c r="C16">
        <v>46916.69297210253</v>
      </c>
      <c r="E16">
        <v>0.87160472584399917</v>
      </c>
      <c r="F16">
        <v>48178.510386749011</v>
      </c>
      <c r="H16">
        <v>0.59639727461570413</v>
      </c>
      <c r="I16">
        <v>50558.070442690303</v>
      </c>
      <c r="M16">
        <f t="shared" si="0"/>
        <v>-6.0184170904132098E-2</v>
      </c>
      <c r="N16">
        <f t="shared" si="1"/>
        <v>10.756128818017915</v>
      </c>
      <c r="P16">
        <f t="shared" si="2"/>
        <v>-0.13741925389332968</v>
      </c>
      <c r="Q16">
        <f t="shared" si="3"/>
        <v>10.782668358022761</v>
      </c>
      <c r="S16">
        <f t="shared" si="4"/>
        <v>-0.51684826582750776</v>
      </c>
      <c r="T16">
        <f t="shared" si="5"/>
        <v>10.830877864379874</v>
      </c>
      <c r="X16" s="7" t="s">
        <v>1401</v>
      </c>
      <c r="Y16" s="7">
        <v>25</v>
      </c>
      <c r="Z16" s="7">
        <v>0.12722135316668615</v>
      </c>
      <c r="AA16" s="7"/>
      <c r="AB16" s="7"/>
      <c r="AC16" s="7"/>
      <c r="AJ16" s="7" t="s">
        <v>1401</v>
      </c>
      <c r="AK16" s="7">
        <v>25</v>
      </c>
      <c r="AL16" s="7">
        <v>0.10792535333374696</v>
      </c>
      <c r="AM16" s="7"/>
      <c r="AN16" s="7"/>
      <c r="AO16" s="7"/>
    </row>
    <row r="17" spans="2:44" ht="15.75" thickBot="1" x14ac:dyDescent="0.3">
      <c r="B17">
        <v>0.98611877389755065</v>
      </c>
      <c r="C17">
        <v>48441.571228122535</v>
      </c>
      <c r="E17">
        <v>0.67896377172528399</v>
      </c>
      <c r="F17">
        <v>44071.315368874792</v>
      </c>
      <c r="H17">
        <v>0.63033084477681867</v>
      </c>
      <c r="I17">
        <v>51635.958097190807</v>
      </c>
      <c r="M17">
        <f t="shared" si="0"/>
        <v>-1.3978471291922616E-2</v>
      </c>
      <c r="N17">
        <f t="shared" si="1"/>
        <v>10.788113633724841</v>
      </c>
      <c r="P17">
        <f t="shared" si="2"/>
        <v>-0.38718750818520281</v>
      </c>
      <c r="Q17">
        <f t="shared" si="3"/>
        <v>10.693564404653484</v>
      </c>
      <c r="S17">
        <f t="shared" si="4"/>
        <v>-0.46151044700039912</v>
      </c>
      <c r="T17">
        <f t="shared" si="5"/>
        <v>10.851973571122491</v>
      </c>
    </row>
    <row r="18" spans="2:44" x14ac:dyDescent="0.25">
      <c r="B18">
        <v>0.97603252228422344</v>
      </c>
      <c r="C18">
        <v>50618.010853369793</v>
      </c>
      <c r="E18">
        <v>0.6988099275433477</v>
      </c>
      <c r="F18">
        <v>44815.502372644449</v>
      </c>
      <c r="H18">
        <v>0.68967624471305267</v>
      </c>
      <c r="I18">
        <v>28162.492587795216</v>
      </c>
      <c r="M18">
        <f t="shared" si="0"/>
        <v>-2.4259371111686481E-2</v>
      </c>
      <c r="N18">
        <f t="shared" si="1"/>
        <v>10.832062737660678</v>
      </c>
      <c r="P18">
        <f t="shared" si="2"/>
        <v>-0.35837649426426438</v>
      </c>
      <c r="Q18">
        <f t="shared" si="3"/>
        <v>10.710309393650409</v>
      </c>
      <c r="S18">
        <f t="shared" si="4"/>
        <v>-0.37153300206534612</v>
      </c>
      <c r="T18">
        <f t="shared" si="5"/>
        <v>10.245746321546331</v>
      </c>
      <c r="X18" s="8"/>
      <c r="Y18" s="8" t="s">
        <v>1408</v>
      </c>
      <c r="Z18" s="8" t="s">
        <v>1396</v>
      </c>
      <c r="AA18" s="8" t="s">
        <v>1409</v>
      </c>
      <c r="AB18" s="8" t="s">
        <v>1410</v>
      </c>
      <c r="AC18" s="8" t="s">
        <v>1411</v>
      </c>
      <c r="AD18" s="8" t="s">
        <v>1412</v>
      </c>
      <c r="AE18" s="8" t="s">
        <v>1413</v>
      </c>
      <c r="AF18" s="8" t="s">
        <v>1414</v>
      </c>
      <c r="AJ18" s="8"/>
      <c r="AK18" s="8" t="s">
        <v>1408</v>
      </c>
      <c r="AL18" s="8" t="s">
        <v>1396</v>
      </c>
      <c r="AM18" s="8" t="s">
        <v>1409</v>
      </c>
      <c r="AN18" s="8" t="s">
        <v>1410</v>
      </c>
      <c r="AO18" s="8" t="s">
        <v>1411</v>
      </c>
      <c r="AP18" s="8" t="s">
        <v>1412</v>
      </c>
      <c r="AQ18" s="8" t="s">
        <v>1413</v>
      </c>
      <c r="AR18" s="8" t="s">
        <v>1414</v>
      </c>
    </row>
    <row r="19" spans="2:44" x14ac:dyDescent="0.25">
      <c r="B19">
        <v>0.93110018216505108</v>
      </c>
      <c r="C19">
        <v>72220.47701489563</v>
      </c>
      <c r="E19">
        <v>0.72919736268954694</v>
      </c>
      <c r="F19">
        <v>45516.516646176337</v>
      </c>
      <c r="H19">
        <v>0.70525718709339769</v>
      </c>
      <c r="I19">
        <v>28600.62691342154</v>
      </c>
      <c r="M19">
        <f t="shared" si="0"/>
        <v>-7.1388400442681119E-2</v>
      </c>
      <c r="N19">
        <f t="shared" si="1"/>
        <v>11.187478899834499</v>
      </c>
      <c r="P19">
        <f t="shared" si="2"/>
        <v>-0.31581085290174082</v>
      </c>
      <c r="Q19">
        <f t="shared" si="3"/>
        <v>10.725830542281983</v>
      </c>
      <c r="S19">
        <f t="shared" si="4"/>
        <v>-0.34919273830701236</v>
      </c>
      <c r="T19">
        <f t="shared" si="5"/>
        <v>10.261183916617407</v>
      </c>
      <c r="X19" t="s">
        <v>1402</v>
      </c>
      <c r="Y19">
        <v>9.3314117780047265E-2</v>
      </c>
      <c r="Z19">
        <v>0.63258579082098598</v>
      </c>
      <c r="AA19">
        <v>0.14751219381475802</v>
      </c>
      <c r="AB19">
        <v>0.88396001770615484</v>
      </c>
      <c r="AC19">
        <v>-1.2122787860017128</v>
      </c>
      <c r="AD19">
        <v>1.3989070215618071</v>
      </c>
      <c r="AE19">
        <v>-1.2122787860017128</v>
      </c>
      <c r="AF19">
        <v>1.3989070215618071</v>
      </c>
      <c r="AJ19" t="s">
        <v>1402</v>
      </c>
      <c r="AK19">
        <v>0.93951872674776449</v>
      </c>
      <c r="AL19">
        <v>5.2298102129973989E-2</v>
      </c>
      <c r="AM19">
        <v>17.964681097084998</v>
      </c>
      <c r="AN19">
        <v>2.0150930959208192E-15</v>
      </c>
      <c r="AO19">
        <v>0.83158074898583556</v>
      </c>
      <c r="AP19">
        <v>1.0474567045096934</v>
      </c>
      <c r="AQ19">
        <v>0.83158074898583556</v>
      </c>
      <c r="AR19">
        <v>1.0474567045096934</v>
      </c>
    </row>
    <row r="20" spans="2:44" ht="15.75" thickBot="1" x14ac:dyDescent="0.3">
      <c r="B20">
        <v>0.96845255442268274</v>
      </c>
      <c r="C20">
        <v>82643.830102980064</v>
      </c>
      <c r="E20">
        <v>0.47096724952536373</v>
      </c>
      <c r="F20">
        <v>36325.79807029834</v>
      </c>
      <c r="H20">
        <v>0.7271028605063844</v>
      </c>
      <c r="I20">
        <v>29307.706454083233</v>
      </c>
      <c r="M20">
        <f t="shared" si="0"/>
        <v>-3.2055786057135334E-2</v>
      </c>
      <c r="N20">
        <f t="shared" si="1"/>
        <v>11.32229544956102</v>
      </c>
      <c r="P20">
        <f t="shared" si="2"/>
        <v>-0.75296672129973929</v>
      </c>
      <c r="Q20">
        <f t="shared" si="3"/>
        <v>10.500283458473763</v>
      </c>
      <c r="S20">
        <f t="shared" si="4"/>
        <v>-0.31868732520323001</v>
      </c>
      <c r="T20">
        <f t="shared" si="5"/>
        <v>10.285605779332439</v>
      </c>
      <c r="X20" s="7" t="s">
        <v>1381</v>
      </c>
      <c r="Y20" s="7">
        <v>-1.4830108907298108E-2</v>
      </c>
      <c r="Z20" s="7">
        <v>5.8351237520227368E-2</v>
      </c>
      <c r="AA20" s="7">
        <v>-0.25415243167991552</v>
      </c>
      <c r="AB20" s="7">
        <v>0.80154265690580384</v>
      </c>
      <c r="AC20" s="7">
        <v>-0.13526114409451065</v>
      </c>
      <c r="AD20" s="7">
        <v>0.10560092627991442</v>
      </c>
      <c r="AE20" s="7">
        <v>-0.13526114409451065</v>
      </c>
      <c r="AF20" s="7">
        <v>0.10560092627991442</v>
      </c>
      <c r="AJ20" s="7" t="s">
        <v>1381</v>
      </c>
      <c r="AK20" s="7">
        <v>-4.6672302523676789E-8</v>
      </c>
      <c r="AL20" s="7">
        <v>9.6356259980103221E-7</v>
      </c>
      <c r="AM20" s="7">
        <v>-4.8437229229646564E-2</v>
      </c>
      <c r="AN20" s="7">
        <v>0.96176862691541465</v>
      </c>
      <c r="AO20" s="7">
        <v>-2.0353677662915879E-6</v>
      </c>
      <c r="AP20" s="7">
        <v>1.9420231612442342E-6</v>
      </c>
      <c r="AQ20" s="7">
        <v>-2.0353677662915879E-6</v>
      </c>
      <c r="AR20" s="7">
        <v>1.9420231612442342E-6</v>
      </c>
    </row>
    <row r="21" spans="2:44" x14ac:dyDescent="0.25">
      <c r="B21">
        <v>1.045809441816695</v>
      </c>
      <c r="C21">
        <v>84967.92679077803</v>
      </c>
      <c r="E21">
        <v>0.44641571903652894</v>
      </c>
      <c r="F21">
        <v>37029.425301983472</v>
      </c>
      <c r="H21">
        <v>0.71683257951068369</v>
      </c>
      <c r="I21">
        <v>32266.419177133233</v>
      </c>
      <c r="M21">
        <f t="shared" si="0"/>
        <v>4.4791171050792958E-2</v>
      </c>
      <c r="N21">
        <f t="shared" si="1"/>
        <v>11.35002913239167</v>
      </c>
      <c r="P21">
        <f t="shared" si="2"/>
        <v>-0.80650465563954521</v>
      </c>
      <c r="Q21">
        <f t="shared" si="3"/>
        <v>10.519468153992017</v>
      </c>
      <c r="S21">
        <f t="shared" si="4"/>
        <v>-0.33291296702800793</v>
      </c>
      <c r="T21">
        <f t="shared" si="5"/>
        <v>10.381782314436975</v>
      </c>
    </row>
    <row r="22" spans="2:44" x14ac:dyDescent="0.25">
      <c r="B22">
        <v>0.905324651814293</v>
      </c>
      <c r="C22">
        <v>70605.993647569107</v>
      </c>
      <c r="E22">
        <v>0.46687931725725051</v>
      </c>
      <c r="F22">
        <v>38606.126618443624</v>
      </c>
      <c r="H22">
        <v>0.81821053795425447</v>
      </c>
      <c r="I22">
        <v>34062.01350864071</v>
      </c>
      <c r="M22">
        <f t="shared" si="0"/>
        <v>-9.9461668324383273E-2</v>
      </c>
      <c r="N22">
        <f t="shared" si="1"/>
        <v>11.164870315735804</v>
      </c>
      <c r="P22">
        <f t="shared" si="2"/>
        <v>-0.7616844760004593</v>
      </c>
      <c r="Q22">
        <f t="shared" si="3"/>
        <v>10.561166263543194</v>
      </c>
      <c r="S22">
        <f t="shared" si="4"/>
        <v>-0.20063559413412119</v>
      </c>
      <c r="T22">
        <f t="shared" si="5"/>
        <v>10.435938068988472</v>
      </c>
    </row>
    <row r="23" spans="2:44" x14ac:dyDescent="0.25">
      <c r="B23">
        <v>0.82460694837794091</v>
      </c>
      <c r="C23">
        <v>75649.890989364649</v>
      </c>
      <c r="E23">
        <v>0.49378446297945855</v>
      </c>
      <c r="F23">
        <v>41040.08871613536</v>
      </c>
      <c r="H23">
        <v>0.99087827556597541</v>
      </c>
      <c r="I23">
        <v>57103.104785562376</v>
      </c>
      <c r="M23">
        <f t="shared" si="0"/>
        <v>-0.19284843238303825</v>
      </c>
      <c r="N23">
        <f t="shared" si="1"/>
        <v>11.233871278228877</v>
      </c>
      <c r="P23">
        <f t="shared" si="2"/>
        <v>-0.70565616676319343</v>
      </c>
      <c r="Q23">
        <f t="shared" si="3"/>
        <v>10.62230464154152</v>
      </c>
      <c r="S23">
        <f t="shared" si="4"/>
        <v>-9.1635820995123619E-3</v>
      </c>
      <c r="T23">
        <f t="shared" si="5"/>
        <v>10.952613768694098</v>
      </c>
      <c r="X23" t="s">
        <v>1536</v>
      </c>
      <c r="AJ23" t="s">
        <v>1510</v>
      </c>
    </row>
    <row r="24" spans="2:44" x14ac:dyDescent="0.25">
      <c r="B24">
        <v>0.98537597677911637</v>
      </c>
      <c r="C24">
        <v>46855.153070631633</v>
      </c>
      <c r="E24">
        <v>0.51744125252815487</v>
      </c>
      <c r="F24">
        <v>42384.192181773928</v>
      </c>
      <c r="H24">
        <v>0.94972539276772483</v>
      </c>
      <c r="I24">
        <v>58794.715265591047</v>
      </c>
      <c r="M24">
        <f t="shared" si="0"/>
        <v>-1.4732008326020356E-2</v>
      </c>
      <c r="N24">
        <f t="shared" si="1"/>
        <v>10.754816272453274</v>
      </c>
      <c r="P24">
        <f t="shared" si="2"/>
        <v>-0.65885928197141197</v>
      </c>
      <c r="Q24">
        <f t="shared" si="3"/>
        <v>10.654530745801635</v>
      </c>
      <c r="S24">
        <f t="shared" si="4"/>
        <v>-5.1582396418015826E-2</v>
      </c>
      <c r="T24">
        <f t="shared" si="5"/>
        <v>10.981807253412063</v>
      </c>
      <c r="X24" t="s">
        <v>1391</v>
      </c>
      <c r="AJ24" t="s">
        <v>1391</v>
      </c>
    </row>
    <row r="25" spans="2:44" ht="15.75" thickBot="1" x14ac:dyDescent="0.3">
      <c r="B25">
        <v>0.94009103792086846</v>
      </c>
      <c r="C25">
        <v>49950.927617442467</v>
      </c>
      <c r="E25">
        <v>0.7956998782460819</v>
      </c>
      <c r="F25">
        <v>42235.700313085872</v>
      </c>
      <c r="H25">
        <v>0.97724445391128134</v>
      </c>
      <c r="I25">
        <v>60097.330920983419</v>
      </c>
      <c r="M25">
        <f t="shared" si="0"/>
        <v>-6.1778559555647039E-2</v>
      </c>
      <c r="N25">
        <f t="shared" si="1"/>
        <v>10.81879635482403</v>
      </c>
      <c r="P25">
        <f t="shared" si="2"/>
        <v>-0.22853320161351207</v>
      </c>
      <c r="Q25">
        <f t="shared" si="3"/>
        <v>10.65102112136865</v>
      </c>
      <c r="S25">
        <f t="shared" si="4"/>
        <v>-2.301844952468432E-2</v>
      </c>
      <c r="T25">
        <f t="shared" si="5"/>
        <v>11.003720708904563</v>
      </c>
    </row>
    <row r="26" spans="2:44" x14ac:dyDescent="0.25">
      <c r="B26">
        <v>0.95218910095429432</v>
      </c>
      <c r="C26">
        <v>51968.935782233137</v>
      </c>
      <c r="E26">
        <v>0.82481095587010278</v>
      </c>
      <c r="F26">
        <v>42753.276711465071</v>
      </c>
      <c r="H26">
        <v>0.95019001690154248</v>
      </c>
      <c r="I26">
        <v>61165.314580439437</v>
      </c>
      <c r="M26">
        <f t="shared" si="0"/>
        <v>-4.8991628459990388E-2</v>
      </c>
      <c r="N26">
        <f t="shared" si="1"/>
        <v>10.858401430252568</v>
      </c>
      <c r="P26">
        <f t="shared" si="2"/>
        <v>-0.19260106330492074</v>
      </c>
      <c r="Q26">
        <f t="shared" si="3"/>
        <v>10.663201119648987</v>
      </c>
      <c r="S26">
        <f t="shared" si="4"/>
        <v>-5.1093296597344587E-2</v>
      </c>
      <c r="T26">
        <f t="shared" si="5"/>
        <v>11.02133555261239</v>
      </c>
      <c r="X26" s="9" t="s">
        <v>1392</v>
      </c>
      <c r="Y26" s="9"/>
      <c r="AJ26" s="9" t="s">
        <v>1392</v>
      </c>
      <c r="AK26" s="9"/>
    </row>
    <row r="27" spans="2:44" x14ac:dyDescent="0.25">
      <c r="B27">
        <v>1.0443984621068385</v>
      </c>
      <c r="C27">
        <v>54530.911276839557</v>
      </c>
      <c r="E27">
        <v>0.84479984125757479</v>
      </c>
      <c r="F27">
        <v>43111.709882738891</v>
      </c>
      <c r="H27">
        <v>0.94359670714959187</v>
      </c>
      <c r="I27">
        <v>63034.997310752806</v>
      </c>
      <c r="M27">
        <f t="shared" si="0"/>
        <v>4.344108532819313E-2</v>
      </c>
      <c r="N27">
        <f t="shared" si="1"/>
        <v>10.906522999257449</v>
      </c>
      <c r="P27">
        <f t="shared" si="2"/>
        <v>-0.16865555393549056</v>
      </c>
      <c r="Q27">
        <f t="shared" si="3"/>
        <v>10.671549930205343</v>
      </c>
      <c r="S27">
        <f t="shared" si="4"/>
        <v>-5.8056421122370389E-2</v>
      </c>
      <c r="T27">
        <f t="shared" si="5"/>
        <v>11.051445364002607</v>
      </c>
      <c r="X27" t="s">
        <v>1393</v>
      </c>
      <c r="Y27">
        <v>0.70296703434752283</v>
      </c>
      <c r="AJ27" t="s">
        <v>1393</v>
      </c>
      <c r="AK27">
        <v>0.63109802933699477</v>
      </c>
    </row>
    <row r="28" spans="2:44" x14ac:dyDescent="0.25">
      <c r="B28">
        <v>0.95932333950081183</v>
      </c>
      <c r="C28">
        <v>55793.935163095513</v>
      </c>
      <c r="E28">
        <v>0.85454799392169789</v>
      </c>
      <c r="F28">
        <v>45221.768117556268</v>
      </c>
      <c r="H28">
        <v>0.7518977910032798</v>
      </c>
      <c r="I28">
        <v>46737.627663502681</v>
      </c>
      <c r="M28">
        <f t="shared" si="0"/>
        <v>-4.1527097733764527E-2</v>
      </c>
      <c r="N28">
        <f t="shared" si="1"/>
        <v>10.929420453628929</v>
      </c>
      <c r="P28">
        <f t="shared" si="2"/>
        <v>-0.15718261191633004</v>
      </c>
      <c r="Q28">
        <f t="shared" si="3"/>
        <v>10.719333845411576</v>
      </c>
      <c r="S28">
        <f t="shared" si="4"/>
        <v>-0.28515488048878634</v>
      </c>
      <c r="T28">
        <f t="shared" si="5"/>
        <v>10.752304850782098</v>
      </c>
      <c r="X28" t="s">
        <v>1394</v>
      </c>
      <c r="Y28">
        <v>0.49416265137935128</v>
      </c>
      <c r="AJ28" t="s">
        <v>1394</v>
      </c>
      <c r="AK28">
        <v>0.39828472263303832</v>
      </c>
    </row>
    <row r="29" spans="2:44" x14ac:dyDescent="0.25">
      <c r="E29">
        <v>0.96361810101542533</v>
      </c>
      <c r="F29">
        <v>46318.330801798082</v>
      </c>
      <c r="H29">
        <v>0.7844025548051492</v>
      </c>
      <c r="I29">
        <v>48075.765522428868</v>
      </c>
      <c r="P29">
        <f t="shared" si="2"/>
        <v>-3.706022363638168E-2</v>
      </c>
      <c r="Q29">
        <f t="shared" si="3"/>
        <v>10.743293075366944</v>
      </c>
      <c r="S29">
        <f t="shared" si="4"/>
        <v>-0.24283292764695669</v>
      </c>
      <c r="T29">
        <f t="shared" si="5"/>
        <v>10.780533493833664</v>
      </c>
      <c r="X29" t="s">
        <v>1395</v>
      </c>
      <c r="Y29">
        <v>0.47392915743452535</v>
      </c>
      <c r="AJ29" t="s">
        <v>1395</v>
      </c>
      <c r="AK29">
        <v>0.37421611153835982</v>
      </c>
    </row>
    <row r="30" spans="2:44" x14ac:dyDescent="0.25">
      <c r="X30" t="s">
        <v>1396</v>
      </c>
      <c r="Y30">
        <v>0.18427320952183585</v>
      </c>
      <c r="AJ30" t="s">
        <v>1396</v>
      </c>
      <c r="AK30">
        <v>0.14029151789257027</v>
      </c>
    </row>
    <row r="31" spans="2:44" ht="15.75" thickBot="1" x14ac:dyDescent="0.3">
      <c r="X31" s="7" t="s">
        <v>1397</v>
      </c>
      <c r="Y31" s="7">
        <v>27</v>
      </c>
      <c r="AJ31" s="7" t="s">
        <v>1397</v>
      </c>
      <c r="AK31" s="7">
        <v>27</v>
      </c>
    </row>
    <row r="33" spans="24:44" ht="15.75" thickBot="1" x14ac:dyDescent="0.3">
      <c r="X33" t="s">
        <v>1398</v>
      </c>
      <c r="AJ33" t="s">
        <v>1398</v>
      </c>
    </row>
    <row r="34" spans="24:44" x14ac:dyDescent="0.25">
      <c r="X34" s="8"/>
      <c r="Y34" s="8" t="s">
        <v>1403</v>
      </c>
      <c r="Z34" s="8" t="s">
        <v>1404</v>
      </c>
      <c r="AA34" s="8" t="s">
        <v>1405</v>
      </c>
      <c r="AB34" s="8" t="s">
        <v>1406</v>
      </c>
      <c r="AC34" s="8" t="s">
        <v>1407</v>
      </c>
      <c r="AJ34" s="8"/>
      <c r="AK34" s="8" t="s">
        <v>1403</v>
      </c>
      <c r="AL34" s="8" t="s">
        <v>1404</v>
      </c>
      <c r="AM34" s="8" t="s">
        <v>1405</v>
      </c>
      <c r="AN34" s="8" t="s">
        <v>1406</v>
      </c>
      <c r="AO34" s="8" t="s">
        <v>1407</v>
      </c>
    </row>
    <row r="35" spans="24:44" x14ac:dyDescent="0.25">
      <c r="X35" t="s">
        <v>1399</v>
      </c>
      <c r="Y35">
        <v>1</v>
      </c>
      <c r="Z35">
        <v>0.82932247467495479</v>
      </c>
      <c r="AA35">
        <v>0.82932247467495479</v>
      </c>
      <c r="AB35">
        <v>24.423001421646074</v>
      </c>
      <c r="AC35">
        <v>4.3311798786037016E-5</v>
      </c>
      <c r="AJ35" t="s">
        <v>1399</v>
      </c>
      <c r="AK35">
        <v>1</v>
      </c>
      <c r="AL35">
        <v>0.32569076688767923</v>
      </c>
      <c r="AM35">
        <v>0.32569076688767923</v>
      </c>
      <c r="AN35">
        <v>16.547889741801448</v>
      </c>
      <c r="AO35">
        <v>4.1607517646078616E-4</v>
      </c>
    </row>
    <row r="36" spans="24:44" x14ac:dyDescent="0.25">
      <c r="X36" t="s">
        <v>1400</v>
      </c>
      <c r="Y36">
        <v>25</v>
      </c>
      <c r="Z36">
        <v>0.84891539368696045</v>
      </c>
      <c r="AA36">
        <v>3.3956615747478415E-2</v>
      </c>
      <c r="AJ36" t="s">
        <v>1400</v>
      </c>
      <c r="AK36">
        <v>25</v>
      </c>
      <c r="AL36">
        <v>0.49204274981503421</v>
      </c>
      <c r="AM36">
        <v>1.9681709992601368E-2</v>
      </c>
    </row>
    <row r="37" spans="24:44" ht="15.75" thickBot="1" x14ac:dyDescent="0.3">
      <c r="X37" s="7" t="s">
        <v>1401</v>
      </c>
      <c r="Y37" s="7">
        <v>26</v>
      </c>
      <c r="Z37" s="7">
        <v>1.6782378683619152</v>
      </c>
      <c r="AA37" s="7"/>
      <c r="AB37" s="7"/>
      <c r="AC37" s="7"/>
      <c r="AJ37" s="7" t="s">
        <v>1401</v>
      </c>
      <c r="AK37" s="7">
        <v>26</v>
      </c>
      <c r="AL37" s="7">
        <v>0.81773351670271344</v>
      </c>
      <c r="AM37" s="7"/>
      <c r="AN37" s="7"/>
      <c r="AO37" s="7"/>
    </row>
    <row r="38" spans="24:44" ht="15.75" thickBot="1" x14ac:dyDescent="0.3"/>
    <row r="39" spans="24:44" x14ac:dyDescent="0.25">
      <c r="X39" s="8"/>
      <c r="Y39" s="8" t="s">
        <v>1408</v>
      </c>
      <c r="Z39" s="8" t="s">
        <v>1396</v>
      </c>
      <c r="AA39" s="8" t="s">
        <v>1409</v>
      </c>
      <c r="AB39" s="8" t="s">
        <v>1410</v>
      </c>
      <c r="AC39" s="8" t="s">
        <v>1411</v>
      </c>
      <c r="AD39" s="8" t="s">
        <v>1412</v>
      </c>
      <c r="AE39" s="8" t="s">
        <v>1413</v>
      </c>
      <c r="AF39" s="8" t="s">
        <v>1414</v>
      </c>
      <c r="AJ39" s="8"/>
      <c r="AK39" s="8" t="s">
        <v>1408</v>
      </c>
      <c r="AL39" s="8" t="s">
        <v>1396</v>
      </c>
      <c r="AM39" s="8" t="s">
        <v>1409</v>
      </c>
      <c r="AN39" s="8" t="s">
        <v>1410</v>
      </c>
      <c r="AO39" s="8" t="s">
        <v>1411</v>
      </c>
      <c r="AP39" s="8" t="s">
        <v>1412</v>
      </c>
      <c r="AQ39" s="8" t="s">
        <v>1413</v>
      </c>
      <c r="AR39" s="8" t="s">
        <v>1414</v>
      </c>
    </row>
    <row r="40" spans="24:44" x14ac:dyDescent="0.25">
      <c r="X40" t="s">
        <v>1402</v>
      </c>
      <c r="Y40">
        <v>-24.359153965786504</v>
      </c>
      <c r="Z40">
        <v>4.875426145806065</v>
      </c>
      <c r="AA40">
        <v>-4.996312781138263</v>
      </c>
      <c r="AB40">
        <v>3.7628339960173693E-5</v>
      </c>
      <c r="AC40">
        <v>-34.400282074175514</v>
      </c>
      <c r="AD40">
        <v>-14.318025857397492</v>
      </c>
      <c r="AE40">
        <v>-34.400282074175514</v>
      </c>
      <c r="AF40">
        <v>-14.318025857397492</v>
      </c>
      <c r="AJ40" t="s">
        <v>1402</v>
      </c>
      <c r="AK40">
        <v>-0.65929155677229434</v>
      </c>
      <c r="AL40">
        <v>0.35703306761591996</v>
      </c>
      <c r="AM40">
        <v>-1.8465840186028102</v>
      </c>
      <c r="AN40">
        <v>7.6678978615223603E-2</v>
      </c>
      <c r="AO40">
        <v>-1.3946149241350563</v>
      </c>
      <c r="AP40">
        <v>7.6031810590467708E-2</v>
      </c>
      <c r="AQ40">
        <v>-1.3946149241350563</v>
      </c>
      <c r="AR40">
        <v>7.6031810590467708E-2</v>
      </c>
    </row>
    <row r="41" spans="24:44" ht="15.75" thickBot="1" x14ac:dyDescent="0.3">
      <c r="X41" s="7" t="s">
        <v>1381</v>
      </c>
      <c r="Y41" s="7">
        <v>2.2529359801398483</v>
      </c>
      <c r="Z41" s="7">
        <v>0.45587873398760087</v>
      </c>
      <c r="AA41" s="7">
        <v>4.9419633165014547</v>
      </c>
      <c r="AB41" s="7">
        <v>4.3311798786037253E-5</v>
      </c>
      <c r="AC41" s="7">
        <v>1.3140361521120192</v>
      </c>
      <c r="AD41" s="7">
        <v>3.1918358081676774</v>
      </c>
      <c r="AE41" s="7">
        <v>1.3140361521120192</v>
      </c>
      <c r="AF41" s="7">
        <v>3.1918358081676774</v>
      </c>
      <c r="AJ41" s="7" t="s">
        <v>1381</v>
      </c>
      <c r="AK41" s="7">
        <v>3.2739707654287998E-5</v>
      </c>
      <c r="AL41" s="7">
        <v>8.0482876117676894E-6</v>
      </c>
      <c r="AM41" s="7">
        <v>4.0679097509410695</v>
      </c>
      <c r="AN41" s="7">
        <v>4.1607517646078795E-4</v>
      </c>
      <c r="AO41" s="7">
        <v>1.6163949034205678E-5</v>
      </c>
      <c r="AP41" s="7">
        <v>4.9315466274370322E-5</v>
      </c>
      <c r="AQ41" s="7">
        <v>1.6163949034205678E-5</v>
      </c>
      <c r="AR41" s="7">
        <v>4.9315466274370322E-5</v>
      </c>
    </row>
    <row r="44" spans="24:44" x14ac:dyDescent="0.25">
      <c r="X44" t="s">
        <v>1537</v>
      </c>
      <c r="AJ44" t="s">
        <v>1511</v>
      </c>
    </row>
    <row r="45" spans="24:44" x14ac:dyDescent="0.25">
      <c r="X45" t="s">
        <v>1391</v>
      </c>
      <c r="AJ45" t="s">
        <v>1391</v>
      </c>
    </row>
    <row r="46" spans="24:44" ht="15.75" thickBot="1" x14ac:dyDescent="0.3"/>
    <row r="47" spans="24:44" x14ac:dyDescent="0.25">
      <c r="X47" s="9" t="s">
        <v>1392</v>
      </c>
      <c r="Y47" s="9"/>
      <c r="AJ47" s="9" t="s">
        <v>1392</v>
      </c>
      <c r="AK47" s="9"/>
    </row>
    <row r="48" spans="24:44" x14ac:dyDescent="0.25">
      <c r="X48" t="s">
        <v>1393</v>
      </c>
      <c r="Y48">
        <v>0.33889691099385416</v>
      </c>
      <c r="AJ48" t="s">
        <v>1393</v>
      </c>
      <c r="AK48">
        <v>0.39862264169818384</v>
      </c>
    </row>
    <row r="49" spans="24:44" x14ac:dyDescent="0.25">
      <c r="X49" t="s">
        <v>1394</v>
      </c>
      <c r="Y49">
        <v>0.11485111628117631</v>
      </c>
      <c r="AJ49" t="s">
        <v>1394</v>
      </c>
      <c r="AK49">
        <v>0.15890001047443866</v>
      </c>
    </row>
    <row r="50" spans="24:44" x14ac:dyDescent="0.25">
      <c r="X50" t="s">
        <v>1395</v>
      </c>
      <c r="Y50">
        <v>7.9445160932423362E-2</v>
      </c>
      <c r="AJ50" t="s">
        <v>1395</v>
      </c>
      <c r="AK50">
        <v>0.1252560108934162</v>
      </c>
    </row>
    <row r="51" spans="24:44" x14ac:dyDescent="0.25">
      <c r="X51" t="s">
        <v>1396</v>
      </c>
      <c r="Y51">
        <v>0.15442527831231773</v>
      </c>
      <c r="AJ51" t="s">
        <v>1396</v>
      </c>
      <c r="AK51">
        <v>0.11579206465231064</v>
      </c>
    </row>
    <row r="52" spans="24:44" ht="15.75" thickBot="1" x14ac:dyDescent="0.3">
      <c r="X52" s="7" t="s">
        <v>1397</v>
      </c>
      <c r="Y52" s="7">
        <v>27</v>
      </c>
      <c r="AJ52" s="7" t="s">
        <v>1397</v>
      </c>
      <c r="AK52" s="7">
        <v>27</v>
      </c>
    </row>
    <row r="54" spans="24:44" ht="15.75" thickBot="1" x14ac:dyDescent="0.3">
      <c r="X54" t="s">
        <v>1398</v>
      </c>
      <c r="AJ54" t="s">
        <v>1398</v>
      </c>
    </row>
    <row r="55" spans="24:44" x14ac:dyDescent="0.25">
      <c r="X55" s="8"/>
      <c r="Y55" s="8" t="s">
        <v>1403</v>
      </c>
      <c r="Z55" s="8" t="s">
        <v>1404</v>
      </c>
      <c r="AA55" s="8" t="s">
        <v>1405</v>
      </c>
      <c r="AB55" s="8" t="s">
        <v>1406</v>
      </c>
      <c r="AC55" s="8" t="s">
        <v>1407</v>
      </c>
      <c r="AJ55" s="8"/>
      <c r="AK55" s="8" t="s">
        <v>1403</v>
      </c>
      <c r="AL55" s="8" t="s">
        <v>1404</v>
      </c>
      <c r="AM55" s="8" t="s">
        <v>1405</v>
      </c>
      <c r="AN55" s="8" t="s">
        <v>1406</v>
      </c>
      <c r="AO55" s="8" t="s">
        <v>1407</v>
      </c>
    </row>
    <row r="56" spans="24:44" x14ac:dyDescent="0.25">
      <c r="X56" t="s">
        <v>1399</v>
      </c>
      <c r="Y56">
        <v>1</v>
      </c>
      <c r="Z56">
        <v>7.7356299952617613E-2</v>
      </c>
      <c r="AA56">
        <v>7.7356299952617613E-2</v>
      </c>
      <c r="AB56">
        <v>3.2438361046857485</v>
      </c>
      <c r="AC56">
        <v>8.3768421970426735E-2</v>
      </c>
      <c r="AJ56" t="s">
        <v>1399</v>
      </c>
      <c r="AK56">
        <v>1</v>
      </c>
      <c r="AL56">
        <v>6.3324811031445993E-2</v>
      </c>
      <c r="AM56">
        <v>6.3324811031445993E-2</v>
      </c>
      <c r="AN56">
        <v>4.7229821796832177</v>
      </c>
      <c r="AO56">
        <v>3.9442097039298352E-2</v>
      </c>
    </row>
    <row r="57" spans="24:44" x14ac:dyDescent="0.25">
      <c r="X57" t="s">
        <v>1400</v>
      </c>
      <c r="Y57">
        <v>25</v>
      </c>
      <c r="Z57">
        <v>0.59617916454591979</v>
      </c>
      <c r="AA57">
        <v>2.384716658183679E-2</v>
      </c>
      <c r="AJ57" t="s">
        <v>1400</v>
      </c>
      <c r="AK57">
        <v>25</v>
      </c>
      <c r="AL57">
        <v>0.3351950559111222</v>
      </c>
      <c r="AM57">
        <v>1.3407802236444888E-2</v>
      </c>
    </row>
    <row r="58" spans="24:44" ht="15.75" thickBot="1" x14ac:dyDescent="0.3">
      <c r="X58" s="7" t="s">
        <v>1401</v>
      </c>
      <c r="Y58" s="7">
        <v>26</v>
      </c>
      <c r="Z58" s="7">
        <v>0.67353546449853741</v>
      </c>
      <c r="AA58" s="7"/>
      <c r="AB58" s="7"/>
      <c r="AC58" s="7"/>
      <c r="AJ58" s="7" t="s">
        <v>1401</v>
      </c>
      <c r="AK58" s="7">
        <v>26</v>
      </c>
      <c r="AL58" s="7">
        <v>0.39851986694256819</v>
      </c>
      <c r="AM58" s="7"/>
      <c r="AN58" s="7"/>
      <c r="AO58" s="7"/>
    </row>
    <row r="59" spans="24:44" ht="15.75" thickBot="1" x14ac:dyDescent="0.3"/>
    <row r="60" spans="24:44" x14ac:dyDescent="0.25">
      <c r="X60" s="8"/>
      <c r="Y60" s="8" t="s">
        <v>1408</v>
      </c>
      <c r="Z60" s="8" t="s">
        <v>1396</v>
      </c>
      <c r="AA60" s="8" t="s">
        <v>1409</v>
      </c>
      <c r="AB60" s="8" t="s">
        <v>1410</v>
      </c>
      <c r="AC60" s="8" t="s">
        <v>1411</v>
      </c>
      <c r="AD60" s="8" t="s">
        <v>1412</v>
      </c>
      <c r="AE60" s="8" t="s">
        <v>1413</v>
      </c>
      <c r="AF60" s="8" t="s">
        <v>1414</v>
      </c>
      <c r="AJ60" s="8"/>
      <c r="AK60" s="8" t="s">
        <v>1408</v>
      </c>
      <c r="AL60" s="8" t="s">
        <v>1396</v>
      </c>
      <c r="AM60" s="8" t="s">
        <v>1409</v>
      </c>
      <c r="AN60" s="8" t="s">
        <v>1410</v>
      </c>
      <c r="AO60" s="8" t="s">
        <v>1411</v>
      </c>
      <c r="AP60" s="8" t="s">
        <v>1412</v>
      </c>
      <c r="AQ60" s="8" t="s">
        <v>1413</v>
      </c>
      <c r="AR60" s="8" t="s">
        <v>1414</v>
      </c>
    </row>
    <row r="61" spans="24:44" x14ac:dyDescent="0.25">
      <c r="X61" t="s">
        <v>1402</v>
      </c>
      <c r="Y61">
        <v>-2.4628170913939198</v>
      </c>
      <c r="Z61">
        <v>1.2149642768217304</v>
      </c>
      <c r="AA61">
        <v>-2.0270695512435095</v>
      </c>
      <c r="AB61">
        <v>5.3444922827818347E-2</v>
      </c>
      <c r="AC61">
        <v>-4.9650828597263033</v>
      </c>
      <c r="AD61">
        <v>3.9448676938463656E-2</v>
      </c>
      <c r="AE61">
        <v>-4.9650828597263033</v>
      </c>
      <c r="AF61">
        <v>3.9448676938463656E-2</v>
      </c>
      <c r="AJ61" t="s">
        <v>1402</v>
      </c>
      <c r="AK61">
        <v>0.55393946248230608</v>
      </c>
      <c r="AL61">
        <v>0.10139529966235548</v>
      </c>
      <c r="AM61">
        <v>5.4631670730982052</v>
      </c>
      <c r="AN61">
        <v>1.12993623962371E-5</v>
      </c>
      <c r="AO61">
        <v>0.3451119337597115</v>
      </c>
      <c r="AP61">
        <v>0.76276699120490066</v>
      </c>
      <c r="AQ61">
        <v>0.3451119337597115</v>
      </c>
      <c r="AR61">
        <v>0.76276699120490066</v>
      </c>
    </row>
    <row r="62" spans="24:44" ht="15.75" thickBot="1" x14ac:dyDescent="0.3">
      <c r="X62" s="7" t="s">
        <v>1381</v>
      </c>
      <c r="Y62" s="7">
        <v>0.20188621874573806</v>
      </c>
      <c r="Z62" s="7">
        <v>0.11209267213926992</v>
      </c>
      <c r="AA62" s="7">
        <v>1.8010652694130072</v>
      </c>
      <c r="AB62" s="7">
        <v>8.3768421970426735E-2</v>
      </c>
      <c r="AC62" s="7">
        <v>-2.8972961006223791E-2</v>
      </c>
      <c r="AD62" s="7">
        <v>0.43274539849769988</v>
      </c>
      <c r="AE62" s="7">
        <v>-2.8972961006223791E-2</v>
      </c>
      <c r="AF62" s="7">
        <v>0.43274539849769988</v>
      </c>
      <c r="AJ62" s="7" t="s">
        <v>1381</v>
      </c>
      <c r="AK62" s="7">
        <v>4.100455614160933E-6</v>
      </c>
      <c r="AL62" s="7">
        <v>1.8867917199970152E-6</v>
      </c>
      <c r="AM62" s="7">
        <v>2.1732423195960493</v>
      </c>
      <c r="AN62" s="7">
        <v>3.9442097039298352E-2</v>
      </c>
      <c r="AO62" s="7">
        <v>2.1453532581137492E-7</v>
      </c>
      <c r="AP62" s="7">
        <v>7.9863759025104919E-6</v>
      </c>
      <c r="AQ62" s="7">
        <v>2.1453532581137492E-7</v>
      </c>
      <c r="AR62" s="7">
        <v>7.9863759025104919E-6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2E38-3E6D-4E2A-BE6F-0A397EEB8077}">
  <dimension ref="A1:L28"/>
  <sheetViews>
    <sheetView workbookViewId="0">
      <selection activeCell="K13" sqref="K13"/>
    </sheetView>
  </sheetViews>
  <sheetFormatPr defaultRowHeight="15" x14ac:dyDescent="0.25"/>
  <cols>
    <col min="6" max="6" width="19.140625" bestFit="1" customWidth="1"/>
    <col min="11" max="11" width="9.5703125" bestFit="1" customWidth="1"/>
  </cols>
  <sheetData>
    <row r="1" spans="1:12" x14ac:dyDescent="0.25">
      <c r="A1" t="s">
        <v>1435</v>
      </c>
      <c r="B1" t="s">
        <v>1436</v>
      </c>
      <c r="C1" t="s">
        <v>1434</v>
      </c>
    </row>
    <row r="2" spans="1:12" x14ac:dyDescent="0.25">
      <c r="A2">
        <v>0.96131147203288581</v>
      </c>
      <c r="B2">
        <v>0.9096044797406222</v>
      </c>
      <c r="C2">
        <v>0.82313456909767047</v>
      </c>
      <c r="F2" t="s">
        <v>1543</v>
      </c>
    </row>
    <row r="3" spans="1:12" x14ac:dyDescent="0.25">
      <c r="A3">
        <v>0.97310730133488987</v>
      </c>
      <c r="B3">
        <v>1.0991592151115199</v>
      </c>
      <c r="C3">
        <v>0.80665474734783871</v>
      </c>
    </row>
    <row r="4" spans="1:12" ht="15.75" thickBot="1" x14ac:dyDescent="0.3">
      <c r="A4">
        <v>0.82456469336869687</v>
      </c>
      <c r="B4">
        <v>0.90750238136135797</v>
      </c>
      <c r="C4">
        <v>0.81229288695106849</v>
      </c>
      <c r="F4" t="s">
        <v>1544</v>
      </c>
    </row>
    <row r="5" spans="1:12" x14ac:dyDescent="0.25">
      <c r="A5">
        <v>0.83014906007803291</v>
      </c>
      <c r="B5">
        <v>0.99557675685245373</v>
      </c>
      <c r="C5">
        <v>0.81691703470526222</v>
      </c>
      <c r="F5" s="8" t="s">
        <v>1545</v>
      </c>
      <c r="G5" s="8" t="s">
        <v>1456</v>
      </c>
      <c r="H5" s="8" t="s">
        <v>1546</v>
      </c>
      <c r="I5" s="8" t="s">
        <v>1547</v>
      </c>
      <c r="J5" s="8" t="s">
        <v>1480</v>
      </c>
    </row>
    <row r="6" spans="1:12" x14ac:dyDescent="0.25">
      <c r="A6">
        <v>0.84250890036431014</v>
      </c>
      <c r="B6">
        <v>1.0293968278304799</v>
      </c>
      <c r="C6">
        <v>0.89645316229754601</v>
      </c>
      <c r="F6" t="s">
        <v>1435</v>
      </c>
      <c r="G6">
        <v>26</v>
      </c>
      <c r="H6">
        <v>24.363740591549352</v>
      </c>
      <c r="I6">
        <v>0.93706694582882122</v>
      </c>
      <c r="J6">
        <v>4.3170141333498781E-3</v>
      </c>
    </row>
    <row r="7" spans="1:12" x14ac:dyDescent="0.25">
      <c r="A7">
        <v>0.95078037514654157</v>
      </c>
      <c r="B7">
        <v>0.74765985311219851</v>
      </c>
      <c r="C7">
        <v>0.74393593046378947</v>
      </c>
      <c r="F7" t="s">
        <v>1436</v>
      </c>
      <c r="G7">
        <v>27</v>
      </c>
      <c r="H7">
        <v>21.301057980480689</v>
      </c>
      <c r="I7">
        <v>0.78892807335113657</v>
      </c>
      <c r="J7">
        <v>3.145128910395064E-2</v>
      </c>
    </row>
    <row r="8" spans="1:12" ht="15.75" thickBot="1" x14ac:dyDescent="0.3">
      <c r="A8">
        <v>0.92043993760483378</v>
      </c>
      <c r="B8">
        <v>0.94171912667068891</v>
      </c>
      <c r="C8">
        <v>0.80232293194961446</v>
      </c>
      <c r="F8" s="7" t="s">
        <v>1434</v>
      </c>
      <c r="G8" s="7">
        <v>27</v>
      </c>
      <c r="H8" s="7">
        <v>20.760527076723587</v>
      </c>
      <c r="I8" s="7">
        <v>0.76890841024902179</v>
      </c>
      <c r="J8" s="7">
        <v>1.5327687190098967E-2</v>
      </c>
    </row>
    <row r="9" spans="1:12" x14ac:dyDescent="0.25">
      <c r="A9">
        <v>0.97351588060248362</v>
      </c>
      <c r="B9">
        <v>0.83068332578979531</v>
      </c>
      <c r="C9">
        <v>0.70847724008947577</v>
      </c>
    </row>
    <row r="10" spans="1:12" x14ac:dyDescent="0.25">
      <c r="A10">
        <v>0.97000635391295142</v>
      </c>
      <c r="B10">
        <v>0.81881908416994753</v>
      </c>
      <c r="C10">
        <v>0.66420471988704544</v>
      </c>
    </row>
    <row r="11" spans="1:12" ht="15.75" thickBot="1" x14ac:dyDescent="0.3">
      <c r="A11">
        <v>1.0333880660833936</v>
      </c>
      <c r="B11">
        <v>0.85124912867882008</v>
      </c>
      <c r="C11">
        <v>0.67668243829190799</v>
      </c>
      <c r="F11" t="s">
        <v>1398</v>
      </c>
    </row>
    <row r="12" spans="1:12" x14ac:dyDescent="0.25">
      <c r="A12">
        <v>0.82697733456333122</v>
      </c>
      <c r="B12">
        <v>0.81321441570076702</v>
      </c>
      <c r="C12">
        <v>0.59272337202460712</v>
      </c>
      <c r="F12" s="8" t="s">
        <v>1548</v>
      </c>
      <c r="G12" s="8" t="s">
        <v>1404</v>
      </c>
      <c r="H12" s="8" t="s">
        <v>1403</v>
      </c>
      <c r="I12" s="8" t="s">
        <v>1405</v>
      </c>
      <c r="J12" s="8" t="s">
        <v>1406</v>
      </c>
      <c r="K12" s="8" t="s">
        <v>1410</v>
      </c>
      <c r="L12" s="8" t="s">
        <v>1549</v>
      </c>
    </row>
    <row r="13" spans="1:12" x14ac:dyDescent="0.25">
      <c r="A13">
        <v>0.91691534070828062</v>
      </c>
      <c r="B13">
        <v>0.85187419849456381</v>
      </c>
      <c r="C13">
        <v>0.58570957531494905</v>
      </c>
      <c r="F13" t="s">
        <v>1550</v>
      </c>
      <c r="G13">
        <v>0.4443538941785341</v>
      </c>
      <c r="H13">
        <v>2</v>
      </c>
      <c r="I13">
        <v>0.22217694708926705</v>
      </c>
      <c r="J13">
        <v>12.919422769846593</v>
      </c>
      <c r="K13" s="31">
        <v>1.4515800885884284E-5</v>
      </c>
      <c r="L13">
        <v>3.1153657966336636</v>
      </c>
    </row>
    <row r="14" spans="1:12" x14ac:dyDescent="0.25">
      <c r="A14">
        <v>0.87966177977890037</v>
      </c>
      <c r="B14">
        <v>0.84705862752765693</v>
      </c>
      <c r="C14">
        <v>0.59927574702797526</v>
      </c>
      <c r="F14" t="s">
        <v>1551</v>
      </c>
      <c r="G14">
        <v>1.3241787369790285</v>
      </c>
      <c r="H14">
        <v>77</v>
      </c>
      <c r="I14">
        <v>1.7197126454273098E-2</v>
      </c>
    </row>
    <row r="15" spans="1:12" x14ac:dyDescent="0.25">
      <c r="A15">
        <v>0.94159110392945733</v>
      </c>
      <c r="B15">
        <v>0.87160472584399917</v>
      </c>
      <c r="C15">
        <v>0.59639727461570413</v>
      </c>
    </row>
    <row r="16" spans="1:12" ht="15.75" thickBot="1" x14ac:dyDescent="0.3">
      <c r="A16">
        <v>0.98611877389755065</v>
      </c>
      <c r="B16">
        <v>0.67896377172528399</v>
      </c>
      <c r="C16">
        <v>0.63033084477681867</v>
      </c>
      <c r="F16" s="7" t="s">
        <v>1401</v>
      </c>
      <c r="G16" s="7">
        <v>1.7685326311575627</v>
      </c>
      <c r="H16" s="7">
        <v>79</v>
      </c>
      <c r="I16" s="7"/>
      <c r="J16" s="7"/>
      <c r="K16" s="7"/>
      <c r="L16" s="7"/>
    </row>
    <row r="17" spans="1:3" x14ac:dyDescent="0.25">
      <c r="A17">
        <v>0.97603252228422344</v>
      </c>
      <c r="B17">
        <v>0.6988099275433477</v>
      </c>
      <c r="C17">
        <v>0.68967624471305267</v>
      </c>
    </row>
    <row r="18" spans="1:3" x14ac:dyDescent="0.25">
      <c r="A18">
        <v>0.93110018216505108</v>
      </c>
      <c r="B18">
        <v>0.72919736268954694</v>
      </c>
      <c r="C18">
        <v>0.70525718709339769</v>
      </c>
    </row>
    <row r="19" spans="1:3" x14ac:dyDescent="0.25">
      <c r="A19">
        <v>0.96845255442268274</v>
      </c>
      <c r="B19">
        <v>0.47096724952536373</v>
      </c>
      <c r="C19">
        <v>0.7271028605063844</v>
      </c>
    </row>
    <row r="20" spans="1:3" x14ac:dyDescent="0.25">
      <c r="A20">
        <v>1.045809441816695</v>
      </c>
      <c r="B20">
        <v>0.44641571903652894</v>
      </c>
      <c r="C20">
        <v>0.71683257951068369</v>
      </c>
    </row>
    <row r="21" spans="1:3" x14ac:dyDescent="0.25">
      <c r="A21">
        <v>0.905324651814293</v>
      </c>
      <c r="B21">
        <v>0.46687931725725051</v>
      </c>
      <c r="C21">
        <v>0.81821053795425447</v>
      </c>
    </row>
    <row r="22" spans="1:3" x14ac:dyDescent="0.25">
      <c r="A22">
        <v>0.82460694837794091</v>
      </c>
      <c r="B22">
        <v>0.49378446297945855</v>
      </c>
      <c r="C22">
        <v>0.99087827556597541</v>
      </c>
    </row>
    <row r="23" spans="1:3" x14ac:dyDescent="0.25">
      <c r="A23">
        <v>0.98537597677911637</v>
      </c>
      <c r="B23">
        <v>0.51744125252815487</v>
      </c>
      <c r="C23">
        <v>0.94972539276772483</v>
      </c>
    </row>
    <row r="24" spans="1:3" x14ac:dyDescent="0.25">
      <c r="A24">
        <v>0.94009103792086846</v>
      </c>
      <c r="B24">
        <v>0.7956998782460819</v>
      </c>
      <c r="C24">
        <v>0.97724445391128134</v>
      </c>
    </row>
    <row r="25" spans="1:3" x14ac:dyDescent="0.25">
      <c r="A25">
        <v>0.95218910095429432</v>
      </c>
      <c r="B25">
        <v>0.82481095587010278</v>
      </c>
      <c r="C25">
        <v>0.95019001690154248</v>
      </c>
    </row>
    <row r="26" spans="1:3" x14ac:dyDescent="0.25">
      <c r="A26">
        <v>1.0443984621068385</v>
      </c>
      <c r="B26">
        <v>0.84479984125757479</v>
      </c>
      <c r="C26">
        <v>0.94359670714959187</v>
      </c>
    </row>
    <row r="27" spans="1:3" x14ac:dyDescent="0.25">
      <c r="A27">
        <v>0.95932333950081183</v>
      </c>
      <c r="B27">
        <v>0.85454799392169789</v>
      </c>
      <c r="C27">
        <v>0.7518977910032798</v>
      </c>
    </row>
    <row r="28" spans="1:3" x14ac:dyDescent="0.25">
      <c r="B28">
        <v>0.96361810101542533</v>
      </c>
      <c r="C28">
        <v>0.7844025548051492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FBE2-5740-44A9-9FC1-246AFADF8F7E}">
  <dimension ref="A1:K81"/>
  <sheetViews>
    <sheetView zoomScale="75" zoomScaleNormal="75" workbookViewId="0">
      <selection activeCell="E37" sqref="E37:K46"/>
    </sheetView>
  </sheetViews>
  <sheetFormatPr defaultRowHeight="15" x14ac:dyDescent="0.25"/>
  <cols>
    <col min="6" max="6" width="14.42578125" bestFit="1" customWidth="1"/>
    <col min="7" max="7" width="13" customWidth="1"/>
    <col min="8" max="8" width="13.85546875" bestFit="1" customWidth="1"/>
    <col min="10" max="10" width="10.5703125" bestFit="1" customWidth="1"/>
    <col min="11" max="11" width="11" bestFit="1" customWidth="1"/>
  </cols>
  <sheetData>
    <row r="1" spans="1:9" x14ac:dyDescent="0.25">
      <c r="A1" t="s">
        <v>1379</v>
      </c>
      <c r="B1" t="s">
        <v>1512</v>
      </c>
      <c r="C1" t="s">
        <v>1513</v>
      </c>
    </row>
    <row r="2" spans="1:9" x14ac:dyDescent="0.25">
      <c r="A2" t="s">
        <v>1435</v>
      </c>
      <c r="B2">
        <v>-3.9456810107772737E-2</v>
      </c>
      <c r="C2">
        <v>10.803020928320345</v>
      </c>
    </row>
    <row r="3" spans="1:9" x14ac:dyDescent="0.25">
      <c r="A3" t="s">
        <v>1435</v>
      </c>
      <c r="B3">
        <v>-2.7260924012175006E-2</v>
      </c>
      <c r="C3">
        <v>10.792009327455123</v>
      </c>
    </row>
    <row r="4" spans="1:9" x14ac:dyDescent="0.25">
      <c r="A4" t="s">
        <v>1435</v>
      </c>
      <c r="B4">
        <v>-0.19289967630232918</v>
      </c>
      <c r="C4">
        <v>10.838554985409298</v>
      </c>
      <c r="E4" s="14" t="s">
        <v>1379</v>
      </c>
      <c r="F4" s="14" t="s">
        <v>1422</v>
      </c>
      <c r="G4" s="14" t="s">
        <v>1514</v>
      </c>
      <c r="H4" s="14" t="s">
        <v>1387</v>
      </c>
      <c r="I4" s="14" t="s">
        <v>1515</v>
      </c>
    </row>
    <row r="5" spans="1:9" x14ac:dyDescent="0.25">
      <c r="A5" t="s">
        <v>1435</v>
      </c>
      <c r="B5">
        <v>-0.18615000386046746</v>
      </c>
      <c r="C5">
        <v>10.889742619496028</v>
      </c>
      <c r="E5" s="14" t="s">
        <v>1383</v>
      </c>
      <c r="F5" s="15">
        <f>CORREL(B2:B81,C2:C81)</f>
        <v>0.27196674343146315</v>
      </c>
      <c r="G5" s="15">
        <f>F5^2</f>
        <v>7.3965909532715313E-2</v>
      </c>
      <c r="H5" s="14">
        <v>80</v>
      </c>
      <c r="I5" s="14"/>
    </row>
    <row r="6" spans="1:9" x14ac:dyDescent="0.25">
      <c r="A6" t="s">
        <v>1435</v>
      </c>
      <c r="B6">
        <v>-0.17137105258078617</v>
      </c>
      <c r="C6">
        <v>10.923865463734469</v>
      </c>
      <c r="E6" s="14" t="s">
        <v>1435</v>
      </c>
      <c r="F6" s="15">
        <f t="array" ref="F6">CORREL(IF($A:$A=E6,$B:$B),IF($A:$A=E6,$C:$C))</f>
        <v>-5.1808975537027006E-2</v>
      </c>
      <c r="G6" s="15">
        <f t="shared" ref="G6:G8" si="0">F6^2</f>
        <v>2.684169946196263E-3</v>
      </c>
      <c r="H6" s="14">
        <v>26</v>
      </c>
      <c r="I6" s="15">
        <f>0.5*LN((1+F6)/(1-F6))</f>
        <v>-5.1855405033151385E-2</v>
      </c>
    </row>
    <row r="7" spans="1:9" x14ac:dyDescent="0.25">
      <c r="A7" t="s">
        <v>1435</v>
      </c>
      <c r="B7">
        <v>-5.047218406824084E-2</v>
      </c>
      <c r="C7">
        <v>10.431121781231125</v>
      </c>
      <c r="E7" s="14" t="s">
        <v>1436</v>
      </c>
      <c r="F7" s="15">
        <f t="array" ref="F7">CORREL(IF($A:$A=E7,$B:$B),IF($A:$A=E7,$C:$C))</f>
        <v>0.70296703434752261</v>
      </c>
      <c r="G7" s="15">
        <f t="shared" si="0"/>
        <v>0.49416265137935106</v>
      </c>
      <c r="H7" s="14">
        <v>27</v>
      </c>
      <c r="I7" s="15">
        <f>0.5*LN((1+F7)/(1-F7))</f>
        <v>0.8731420974845614</v>
      </c>
    </row>
    <row r="8" spans="1:9" x14ac:dyDescent="0.25">
      <c r="A8" t="s">
        <v>1435</v>
      </c>
      <c r="B8">
        <v>-8.2903530188178434E-2</v>
      </c>
      <c r="C8">
        <v>10.456398688106709</v>
      </c>
      <c r="E8" s="14" t="s">
        <v>1434</v>
      </c>
      <c r="F8" s="15">
        <f t="array" ref="F8">CORREL(IF($A:$A=E8,$B:$B),IF($A:$A=E8,$C:$C))</f>
        <v>0.33889691099385411</v>
      </c>
      <c r="G8" s="15">
        <f t="shared" si="0"/>
        <v>0.11485111628117627</v>
      </c>
      <c r="H8" s="14">
        <v>27</v>
      </c>
      <c r="I8" s="15">
        <f t="shared" ref="I8" si="1">0.5*LN((1+F8)/(1-F8))</f>
        <v>0.35284578316244097</v>
      </c>
    </row>
    <row r="9" spans="1:9" x14ac:dyDescent="0.25">
      <c r="A9" t="s">
        <v>1435</v>
      </c>
      <c r="B9">
        <v>-2.6841141408757114E-2</v>
      </c>
      <c r="C9">
        <v>10.495076614319606</v>
      </c>
    </row>
    <row r="10" spans="1:9" x14ac:dyDescent="0.25">
      <c r="A10" t="s">
        <v>1435</v>
      </c>
      <c r="B10">
        <v>-3.0452657080439371E-2</v>
      </c>
      <c r="C10">
        <v>10.54939334424507</v>
      </c>
    </row>
    <row r="11" spans="1:9" x14ac:dyDescent="0.25">
      <c r="A11" t="s">
        <v>1435</v>
      </c>
      <c r="B11">
        <v>3.2842788597757154E-2</v>
      </c>
      <c r="C11">
        <v>10.595683671964135</v>
      </c>
      <c r="E11" s="14" t="s">
        <v>1516</v>
      </c>
      <c r="F11" s="14"/>
      <c r="G11" s="14"/>
      <c r="H11" s="14"/>
      <c r="I11" s="14"/>
    </row>
    <row r="12" spans="1:9" x14ac:dyDescent="0.25">
      <c r="A12" t="s">
        <v>1435</v>
      </c>
      <c r="B12">
        <v>-0.189977991149822</v>
      </c>
      <c r="C12">
        <v>10.66386056105085</v>
      </c>
      <c r="E12" s="14" t="s">
        <v>1517</v>
      </c>
      <c r="F12" s="14"/>
      <c r="G12" s="14"/>
      <c r="H12" s="14"/>
      <c r="I12" s="14">
        <v>0.05</v>
      </c>
    </row>
    <row r="13" spans="1:9" x14ac:dyDescent="0.25">
      <c r="A13" t="s">
        <v>1435</v>
      </c>
      <c r="B13">
        <v>-8.6740133006935352E-2</v>
      </c>
      <c r="C13">
        <v>10.705240641446251</v>
      </c>
      <c r="E13" s="14"/>
      <c r="F13" s="14"/>
      <c r="G13" s="14"/>
      <c r="H13" s="14"/>
      <c r="I13" s="14"/>
    </row>
    <row r="14" spans="1:9" x14ac:dyDescent="0.25">
      <c r="A14" t="s">
        <v>1435</v>
      </c>
      <c r="B14">
        <v>-0.12821778654821933</v>
      </c>
      <c r="C14">
        <v>10.747614207447592</v>
      </c>
      <c r="E14" s="14" t="s">
        <v>1379</v>
      </c>
      <c r="F14" s="14" t="s">
        <v>1518</v>
      </c>
      <c r="G14" s="14" t="s">
        <v>1519</v>
      </c>
      <c r="H14" s="14" t="s">
        <v>1520</v>
      </c>
      <c r="I14" s="14"/>
    </row>
    <row r="15" spans="1:9" x14ac:dyDescent="0.25">
      <c r="A15" t="s">
        <v>1435</v>
      </c>
      <c r="B15">
        <v>-6.0184170904132098E-2</v>
      </c>
      <c r="C15">
        <v>10.756128818017915</v>
      </c>
      <c r="E15" s="14" t="s">
        <v>1383</v>
      </c>
      <c r="F15" s="15">
        <f>F5*SQRT(H5-2)/SQRT(1-(F5^2))</f>
        <v>2.4960289313217636</v>
      </c>
      <c r="G15" s="15">
        <f>_xlfn.T.INV(1-$I$12/2,H5-2)</f>
        <v>1.9908470688116877</v>
      </c>
      <c r="H15" s="14" t="str">
        <f>IF(ABS(F15)&gt;G15,"Reject","F.T.R")</f>
        <v>Reject</v>
      </c>
      <c r="I15" s="14"/>
    </row>
    <row r="16" spans="1:9" x14ac:dyDescent="0.25">
      <c r="A16" t="s">
        <v>1435</v>
      </c>
      <c r="B16">
        <v>-1.3978471291922616E-2</v>
      </c>
      <c r="C16">
        <v>10.788113633724841</v>
      </c>
      <c r="E16" s="14" t="s">
        <v>1435</v>
      </c>
      <c r="F16" s="15">
        <f>F6*SQRT(H6-2)/SQRT(1-(F6^2))</f>
        <v>-0.25415243167991569</v>
      </c>
      <c r="G16" s="15">
        <f t="shared" ref="G16:G18" si="2">_xlfn.T.INV(1-$I$12/2,H6-2)</f>
        <v>2.0638985616280254</v>
      </c>
      <c r="H16" s="14" t="str">
        <f t="shared" ref="H16:H18" si="3">IF(ABS(F16)&gt;G16,"Reject","F.T.R")</f>
        <v>F.T.R</v>
      </c>
      <c r="I16" s="14"/>
    </row>
    <row r="17" spans="1:9" x14ac:dyDescent="0.25">
      <c r="A17" t="s">
        <v>1435</v>
      </c>
      <c r="B17">
        <v>-2.4259371111686481E-2</v>
      </c>
      <c r="C17">
        <v>10.832062737660678</v>
      </c>
      <c r="E17" s="14" t="s">
        <v>1436</v>
      </c>
      <c r="F17" s="15">
        <f t="shared" ref="F17:F18" si="4">F7*SQRT(H7-2)/SQRT(1-(F7^2))</f>
        <v>4.9419633165014538</v>
      </c>
      <c r="G17" s="15">
        <f>_xlfn.T.INV(1-$I$12/2,H7-2)</f>
        <v>2.0595385527532977</v>
      </c>
      <c r="H17" s="14" t="str">
        <f t="shared" si="3"/>
        <v>Reject</v>
      </c>
      <c r="I17" s="14"/>
    </row>
    <row r="18" spans="1:9" x14ac:dyDescent="0.25">
      <c r="A18" t="s">
        <v>1435</v>
      </c>
      <c r="B18">
        <v>-7.1388400442681119E-2</v>
      </c>
      <c r="C18">
        <v>11.187478899834499</v>
      </c>
      <c r="E18" s="14" t="s">
        <v>1434</v>
      </c>
      <c r="F18" s="15">
        <f t="shared" si="4"/>
        <v>1.8010652694130072</v>
      </c>
      <c r="G18" s="15">
        <f t="shared" si="2"/>
        <v>2.0595385527532977</v>
      </c>
      <c r="H18" s="14" t="str">
        <f t="shared" si="3"/>
        <v>F.T.R</v>
      </c>
      <c r="I18" s="14"/>
    </row>
    <row r="19" spans="1:9" x14ac:dyDescent="0.25">
      <c r="A19" t="s">
        <v>1435</v>
      </c>
      <c r="B19">
        <v>-3.2055786057135334E-2</v>
      </c>
      <c r="C19">
        <v>11.32229544956102</v>
      </c>
    </row>
    <row r="20" spans="1:9" x14ac:dyDescent="0.25">
      <c r="A20" t="s">
        <v>1435</v>
      </c>
      <c r="B20">
        <v>4.4791171050792958E-2</v>
      </c>
      <c r="C20">
        <v>11.35002913239167</v>
      </c>
    </row>
    <row r="21" spans="1:9" x14ac:dyDescent="0.25">
      <c r="A21" t="s">
        <v>1435</v>
      </c>
      <c r="B21">
        <v>-9.9461668324383273E-2</v>
      </c>
      <c r="C21">
        <v>11.164870315735804</v>
      </c>
      <c r="E21" s="14" t="s">
        <v>1521</v>
      </c>
      <c r="F21" s="14"/>
      <c r="G21" s="14"/>
      <c r="H21" s="14"/>
    </row>
    <row r="22" spans="1:9" x14ac:dyDescent="0.25">
      <c r="A22" t="s">
        <v>1435</v>
      </c>
      <c r="B22">
        <v>-0.19284843238303825</v>
      </c>
      <c r="C22">
        <v>11.233871278228877</v>
      </c>
      <c r="E22" s="14" t="s">
        <v>1522</v>
      </c>
      <c r="F22" s="14"/>
      <c r="G22" s="14"/>
      <c r="H22" s="14"/>
    </row>
    <row r="23" spans="1:9" x14ac:dyDescent="0.25">
      <c r="A23" t="s">
        <v>1435</v>
      </c>
      <c r="B23">
        <v>-1.4732008326020356E-2</v>
      </c>
      <c r="C23">
        <v>10.754816272453274</v>
      </c>
      <c r="E23" s="14"/>
      <c r="F23" s="14"/>
      <c r="G23" s="14"/>
      <c r="H23" s="14"/>
    </row>
    <row r="24" spans="1:9" x14ac:dyDescent="0.25">
      <c r="A24" t="s">
        <v>1435</v>
      </c>
      <c r="B24">
        <v>-6.1778559555647039E-2</v>
      </c>
      <c r="C24">
        <v>10.81879635482403</v>
      </c>
      <c r="E24" s="14"/>
      <c r="F24" s="14" t="s">
        <v>1435</v>
      </c>
      <c r="G24" s="14" t="s">
        <v>1436</v>
      </c>
      <c r="H24" s="14"/>
    </row>
    <row r="25" spans="1:9" x14ac:dyDescent="0.25">
      <c r="A25" t="s">
        <v>1435</v>
      </c>
      <c r="B25">
        <v>-4.8991628459990388E-2</v>
      </c>
      <c r="C25">
        <v>10.858401430252568</v>
      </c>
      <c r="E25" s="14" t="s">
        <v>1436</v>
      </c>
      <c r="F25" s="15">
        <f>($I$6-I7)/SQRT((1/($H$6-3))+(1/(H7-3)))</f>
        <v>-3.170013925650772</v>
      </c>
      <c r="G25" s="14"/>
      <c r="H25" s="14"/>
    </row>
    <row r="26" spans="1:9" x14ac:dyDescent="0.25">
      <c r="A26" t="s">
        <v>1435</v>
      </c>
      <c r="B26">
        <v>4.344108532819313E-2</v>
      </c>
      <c r="C26">
        <v>10.906522999257449</v>
      </c>
      <c r="E26" s="14" t="s">
        <v>1434</v>
      </c>
      <c r="F26" s="15">
        <f>($I$6-I8)/SQRT((1/($H$6-3))+(1/(H8-3)))</f>
        <v>-1.3869317471836906</v>
      </c>
      <c r="G26" s="15">
        <f>(I7-I8)/SQRT((1/(H7-3))+(1/(H8-3)))</f>
        <v>1.8023593027934783</v>
      </c>
      <c r="H26" s="14"/>
    </row>
    <row r="27" spans="1:9" x14ac:dyDescent="0.25">
      <c r="A27" t="s">
        <v>1435</v>
      </c>
      <c r="B27">
        <v>-4.1527097733764527E-2</v>
      </c>
      <c r="C27">
        <v>10.929420453628929</v>
      </c>
      <c r="E27" s="14"/>
      <c r="F27" s="14"/>
      <c r="G27" s="14"/>
      <c r="H27" s="14"/>
    </row>
    <row r="28" spans="1:9" x14ac:dyDescent="0.25">
      <c r="A28" t="s">
        <v>1436</v>
      </c>
      <c r="B28">
        <v>-9.4745411601229665E-2</v>
      </c>
      <c r="C28">
        <v>10.659101646152005</v>
      </c>
      <c r="E28" s="14" t="s">
        <v>1523</v>
      </c>
      <c r="F28" s="14"/>
      <c r="G28" s="14"/>
      <c r="H28" s="14">
        <v>0.05</v>
      </c>
    </row>
    <row r="29" spans="1:9" x14ac:dyDescent="0.25">
      <c r="A29" t="s">
        <v>1436</v>
      </c>
      <c r="B29">
        <v>9.4545537641385222E-2</v>
      </c>
      <c r="C29">
        <v>10.668195894321217</v>
      </c>
      <c r="E29" s="14" t="s">
        <v>1524</v>
      </c>
      <c r="F29" s="16">
        <f>_xlfn.NORM.S.INV(1-(H28/2))</f>
        <v>1.9599639845400536</v>
      </c>
      <c r="G29" s="14"/>
      <c r="H29" s="14"/>
    </row>
    <row r="30" spans="1:9" x14ac:dyDescent="0.25">
      <c r="A30" t="s">
        <v>1436</v>
      </c>
      <c r="B30">
        <v>-9.705908875692347E-2</v>
      </c>
      <c r="C30">
        <v>10.683575736375696</v>
      </c>
      <c r="E30" s="14"/>
      <c r="F30" s="14"/>
      <c r="G30" s="14"/>
      <c r="H30" s="14"/>
    </row>
    <row r="31" spans="1:9" x14ac:dyDescent="0.25">
      <c r="A31" t="s">
        <v>1436</v>
      </c>
      <c r="B31">
        <v>-4.4330546305906713E-3</v>
      </c>
      <c r="C31">
        <v>10.721349013435917</v>
      </c>
      <c r="E31" s="14" t="s">
        <v>1525</v>
      </c>
      <c r="F31" s="14"/>
      <c r="G31" s="14"/>
      <c r="H31" s="14"/>
    </row>
    <row r="32" spans="1:9" x14ac:dyDescent="0.25">
      <c r="A32" t="s">
        <v>1436</v>
      </c>
      <c r="B32">
        <v>2.8973026660445871E-2</v>
      </c>
      <c r="C32">
        <v>10.735705561464391</v>
      </c>
      <c r="E32" s="14"/>
      <c r="F32" s="14" t="s">
        <v>1435</v>
      </c>
      <c r="G32" s="14" t="s">
        <v>1436</v>
      </c>
      <c r="H32" s="14"/>
    </row>
    <row r="33" spans="1:11" x14ac:dyDescent="0.25">
      <c r="A33" t="s">
        <v>1436</v>
      </c>
      <c r="B33">
        <v>-0.29080714626269283</v>
      </c>
      <c r="C33">
        <v>10.723156650302901</v>
      </c>
      <c r="E33" s="14" t="s">
        <v>1436</v>
      </c>
      <c r="F33" s="14" t="str">
        <f>IF(ABS(F25)&gt;$F$29,"Reject","F.T.R")</f>
        <v>Reject</v>
      </c>
      <c r="G33" s="14"/>
      <c r="H33" s="14"/>
    </row>
    <row r="34" spans="1:11" x14ac:dyDescent="0.25">
      <c r="A34" t="s">
        <v>1436</v>
      </c>
      <c r="B34">
        <v>-6.0048215882650607E-2</v>
      </c>
      <c r="C34">
        <v>10.743081636589023</v>
      </c>
      <c r="E34" s="14" t="s">
        <v>1434</v>
      </c>
      <c r="F34" s="14" t="str">
        <f>IF(ABS(F26)&gt;$F$29,"Reject","F.T.R")</f>
        <v>F.T.R</v>
      </c>
      <c r="G34" s="14" t="str">
        <f>IF(ABS(G26)&gt;$F$29,"Reject","F.T.R")</f>
        <v>F.T.R</v>
      </c>
      <c r="H34" s="14"/>
    </row>
    <row r="35" spans="1:11" x14ac:dyDescent="0.25">
      <c r="A35" t="s">
        <v>1436</v>
      </c>
      <c r="B35">
        <v>-0.18550663281985263</v>
      </c>
      <c r="C35">
        <v>10.787718596468499</v>
      </c>
    </row>
    <row r="36" spans="1:11" x14ac:dyDescent="0.25">
      <c r="A36" t="s">
        <v>1436</v>
      </c>
      <c r="B36">
        <v>-0.19989211798011622</v>
      </c>
      <c r="C36">
        <v>10.809601097493472</v>
      </c>
    </row>
    <row r="37" spans="1:11" x14ac:dyDescent="0.25">
      <c r="A37" t="s">
        <v>1436</v>
      </c>
      <c r="B37">
        <v>-0.16105044509741739</v>
      </c>
      <c r="C37">
        <v>10.839147942124594</v>
      </c>
      <c r="E37" s="14" t="s">
        <v>1526</v>
      </c>
      <c r="F37" s="14"/>
      <c r="G37" s="14"/>
      <c r="H37" s="14"/>
      <c r="I37" s="14">
        <v>0.05</v>
      </c>
      <c r="J37" s="14"/>
      <c r="K37" s="14"/>
    </row>
    <row r="38" spans="1:11" x14ac:dyDescent="0.25">
      <c r="A38" t="s">
        <v>1436</v>
      </c>
      <c r="B38">
        <v>-0.20676047025672803</v>
      </c>
      <c r="C38">
        <v>10.683525083304334</v>
      </c>
      <c r="E38" s="14" t="s">
        <v>1379</v>
      </c>
      <c r="F38" s="14" t="s">
        <v>1387</v>
      </c>
      <c r="G38" s="14" t="s">
        <v>1422</v>
      </c>
      <c r="H38" s="14" t="s">
        <v>1527</v>
      </c>
      <c r="I38" s="14" t="s">
        <v>1528</v>
      </c>
      <c r="J38" s="14" t="s">
        <v>1529</v>
      </c>
      <c r="K38" s="14" t="s">
        <v>1530</v>
      </c>
    </row>
    <row r="39" spans="1:11" x14ac:dyDescent="0.25">
      <c r="A39" t="s">
        <v>1436</v>
      </c>
      <c r="B39">
        <v>-0.1603164174039014</v>
      </c>
      <c r="C39">
        <v>10.715625059229435</v>
      </c>
      <c r="E39" s="14" t="s">
        <v>1435</v>
      </c>
      <c r="F39" s="14">
        <v>26</v>
      </c>
      <c r="G39" s="15">
        <f>F6</f>
        <v>-5.1808975537027006E-2</v>
      </c>
      <c r="H39" s="15">
        <f>I6</f>
        <v>-5.1855405033151385E-2</v>
      </c>
      <c r="I39" s="14">
        <f>F39-3</f>
        <v>23</v>
      </c>
      <c r="J39" s="15">
        <f>I39*H39^2</f>
        <v>6.1846609716500182E-2</v>
      </c>
      <c r="K39" s="15">
        <f>J39*H39</f>
        <v>-3.207080996776353E-3</v>
      </c>
    </row>
    <row r="40" spans="1:11" x14ac:dyDescent="0.25">
      <c r="A40" t="s">
        <v>1436</v>
      </c>
      <c r="B40">
        <v>-0.16598536886524848</v>
      </c>
      <c r="C40">
        <v>10.757389504093783</v>
      </c>
      <c r="E40" s="14" t="s">
        <v>1436</v>
      </c>
      <c r="F40" s="14">
        <v>27</v>
      </c>
      <c r="G40" s="15">
        <f>F7</f>
        <v>0.70296703434752261</v>
      </c>
      <c r="H40" s="15">
        <f>I7</f>
        <v>0.8731420974845614</v>
      </c>
      <c r="I40" s="14">
        <f t="shared" ref="I40:I41" si="5">F40-3</f>
        <v>24</v>
      </c>
      <c r="J40" s="15">
        <f t="shared" ref="J40:J41" si="6">I40*H40^2</f>
        <v>18.297050937593745</v>
      </c>
      <c r="K40" s="15">
        <f t="shared" ref="K40:K41" si="7">J40*H40</f>
        <v>15.975925433432463</v>
      </c>
    </row>
    <row r="41" spans="1:11" x14ac:dyDescent="0.25">
      <c r="A41" t="s">
        <v>1436</v>
      </c>
      <c r="B41">
        <v>-0.13741925389332968</v>
      </c>
      <c r="C41">
        <v>10.782668358022761</v>
      </c>
      <c r="E41" s="18" t="s">
        <v>1434</v>
      </c>
      <c r="F41" s="18">
        <v>27</v>
      </c>
      <c r="G41" s="19">
        <f>F8</f>
        <v>0.33889691099385411</v>
      </c>
      <c r="H41" s="19">
        <f>I8</f>
        <v>0.35284578316244097</v>
      </c>
      <c r="I41" s="18">
        <f t="shared" si="5"/>
        <v>24</v>
      </c>
      <c r="J41" s="19">
        <f t="shared" si="6"/>
        <v>2.9880035206923914</v>
      </c>
      <c r="K41" s="19">
        <f t="shared" si="7"/>
        <v>1.0543044423508376</v>
      </c>
    </row>
    <row r="42" spans="1:11" x14ac:dyDescent="0.25">
      <c r="A42" t="s">
        <v>1436</v>
      </c>
      <c r="B42">
        <v>-0.38718750818520281</v>
      </c>
      <c r="C42">
        <v>10.693564404653484</v>
      </c>
      <c r="E42" s="14" t="s">
        <v>1531</v>
      </c>
      <c r="F42" s="14"/>
      <c r="G42" s="14"/>
      <c r="H42" s="14"/>
      <c r="I42" s="14">
        <f>SUM(I39:I41)</f>
        <v>71</v>
      </c>
      <c r="J42" s="15">
        <f t="shared" ref="J42:K42" si="8">SUM(J39:J41)</f>
        <v>21.346901068002637</v>
      </c>
      <c r="K42" s="15">
        <f t="shared" si="8"/>
        <v>17.027022794786525</v>
      </c>
    </row>
    <row r="43" spans="1:11" x14ac:dyDescent="0.25">
      <c r="A43" t="s">
        <v>1436</v>
      </c>
      <c r="B43">
        <v>-0.35837649426426438</v>
      </c>
      <c r="C43">
        <v>10.710309393650409</v>
      </c>
      <c r="E43" s="14"/>
      <c r="F43" s="14"/>
      <c r="G43" s="14"/>
      <c r="H43" s="14"/>
      <c r="I43" s="14"/>
      <c r="J43" s="15"/>
      <c r="K43" s="15">
        <f>K42^2</f>
        <v>289.91950525417991</v>
      </c>
    </row>
    <row r="44" spans="1:11" x14ac:dyDescent="0.25">
      <c r="A44" t="s">
        <v>1436</v>
      </c>
      <c r="B44">
        <v>-0.31581085290174082</v>
      </c>
      <c r="C44">
        <v>10.725830542281983</v>
      </c>
      <c r="E44" s="14"/>
      <c r="F44" s="14" t="s">
        <v>1532</v>
      </c>
      <c r="G44" s="16">
        <f>J42-(K43/I42)</f>
        <v>17.263527754563484</v>
      </c>
      <c r="H44" s="14"/>
      <c r="I44" s="14"/>
      <c r="J44" s="14"/>
      <c r="K44" s="14"/>
    </row>
    <row r="45" spans="1:11" x14ac:dyDescent="0.25">
      <c r="A45" t="s">
        <v>1436</v>
      </c>
      <c r="B45">
        <v>-0.75296672129973929</v>
      </c>
      <c r="C45">
        <v>10.500283458473763</v>
      </c>
      <c r="E45" s="14"/>
      <c r="F45" s="14" t="s">
        <v>1533</v>
      </c>
      <c r="G45" s="16">
        <f>_xlfn.CHISQ.INV(0.95,2)</f>
        <v>5.9914645471079799</v>
      </c>
      <c r="H45" s="14"/>
      <c r="I45" s="14"/>
      <c r="J45" s="14"/>
      <c r="K45" s="14"/>
    </row>
    <row r="46" spans="1:11" x14ac:dyDescent="0.25">
      <c r="A46" t="s">
        <v>1436</v>
      </c>
      <c r="B46">
        <v>-0.80650465563954521</v>
      </c>
      <c r="C46">
        <v>10.519468153992017</v>
      </c>
      <c r="E46" s="14"/>
      <c r="F46" s="14" t="s">
        <v>1534</v>
      </c>
      <c r="G46" s="14" t="str">
        <f>IF(G44&gt;G45,"Reject","F.T.R")</f>
        <v>Reject</v>
      </c>
      <c r="H46" s="14"/>
      <c r="I46" s="14"/>
      <c r="J46" s="14"/>
      <c r="K46" s="14"/>
    </row>
    <row r="47" spans="1:11" x14ac:dyDescent="0.25">
      <c r="A47" t="s">
        <v>1436</v>
      </c>
      <c r="B47">
        <v>-0.7616844760004593</v>
      </c>
      <c r="C47">
        <v>10.561166263543194</v>
      </c>
    </row>
    <row r="48" spans="1:11" x14ac:dyDescent="0.25">
      <c r="A48" t="s">
        <v>1436</v>
      </c>
      <c r="B48">
        <v>-0.70565616676319343</v>
      </c>
      <c r="C48">
        <v>10.62230464154152</v>
      </c>
    </row>
    <row r="49" spans="1:3" x14ac:dyDescent="0.25">
      <c r="A49" t="s">
        <v>1436</v>
      </c>
      <c r="B49">
        <v>-0.65885928197141197</v>
      </c>
      <c r="C49">
        <v>10.654530745801635</v>
      </c>
    </row>
    <row r="50" spans="1:3" x14ac:dyDescent="0.25">
      <c r="A50" t="s">
        <v>1436</v>
      </c>
      <c r="B50">
        <v>-0.22853320161351207</v>
      </c>
      <c r="C50">
        <v>10.65102112136865</v>
      </c>
    </row>
    <row r="51" spans="1:3" x14ac:dyDescent="0.25">
      <c r="A51" t="s">
        <v>1436</v>
      </c>
      <c r="B51">
        <v>-0.19260106330492074</v>
      </c>
      <c r="C51">
        <v>10.663201119648987</v>
      </c>
    </row>
    <row r="52" spans="1:3" x14ac:dyDescent="0.25">
      <c r="A52" t="s">
        <v>1436</v>
      </c>
      <c r="B52">
        <v>-0.16865555393549056</v>
      </c>
      <c r="C52">
        <v>10.671549930205343</v>
      </c>
    </row>
    <row r="53" spans="1:3" x14ac:dyDescent="0.25">
      <c r="A53" t="s">
        <v>1436</v>
      </c>
      <c r="B53">
        <v>-0.15718261191633004</v>
      </c>
      <c r="C53">
        <v>10.719333845411576</v>
      </c>
    </row>
    <row r="54" spans="1:3" x14ac:dyDescent="0.25">
      <c r="A54" t="s">
        <v>1436</v>
      </c>
      <c r="B54">
        <v>-3.706022363638168E-2</v>
      </c>
      <c r="C54">
        <v>10.743293075366944</v>
      </c>
    </row>
    <row r="55" spans="1:3" x14ac:dyDescent="0.25">
      <c r="A55" t="s">
        <v>1434</v>
      </c>
      <c r="B55">
        <v>-0.19463558122469915</v>
      </c>
      <c r="C55">
        <v>10.999569431762815</v>
      </c>
    </row>
    <row r="56" spans="1:3" x14ac:dyDescent="0.25">
      <c r="A56" t="s">
        <v>1434</v>
      </c>
      <c r="B56">
        <v>-0.21485952462375704</v>
      </c>
      <c r="C56">
        <v>11.034882188043936</v>
      </c>
    </row>
    <row r="57" spans="1:3" x14ac:dyDescent="0.25">
      <c r="A57" t="s">
        <v>1434</v>
      </c>
      <c r="B57">
        <v>-0.20789430564082045</v>
      </c>
      <c r="C57">
        <v>11.064170825632253</v>
      </c>
    </row>
    <row r="58" spans="1:3" x14ac:dyDescent="0.25">
      <c r="A58" t="s">
        <v>1434</v>
      </c>
      <c r="B58">
        <v>-0.20221773798692272</v>
      </c>
      <c r="C58">
        <v>11.075168747443165</v>
      </c>
    </row>
    <row r="59" spans="1:3" x14ac:dyDescent="0.25">
      <c r="A59" t="s">
        <v>1434</v>
      </c>
      <c r="B59">
        <v>-0.10930923236864613</v>
      </c>
      <c r="C59">
        <v>11.122147136137803</v>
      </c>
    </row>
    <row r="60" spans="1:3" x14ac:dyDescent="0.25">
      <c r="A60" t="s">
        <v>1434</v>
      </c>
      <c r="B60">
        <v>-0.29580036282517685</v>
      </c>
      <c r="C60">
        <v>10.958768661308911</v>
      </c>
    </row>
    <row r="61" spans="1:3" x14ac:dyDescent="0.25">
      <c r="A61" t="s">
        <v>1434</v>
      </c>
      <c r="B61">
        <v>-0.22024409386942756</v>
      </c>
      <c r="C61">
        <v>10.989405415106221</v>
      </c>
    </row>
    <row r="62" spans="1:3" x14ac:dyDescent="0.25">
      <c r="A62" t="s">
        <v>1434</v>
      </c>
      <c r="B62">
        <v>-0.34463734444717137</v>
      </c>
      <c r="C62">
        <v>11.00908510737902</v>
      </c>
    </row>
    <row r="63" spans="1:3" x14ac:dyDescent="0.25">
      <c r="A63" t="s">
        <v>1434</v>
      </c>
      <c r="B63">
        <v>-0.40916486394151513</v>
      </c>
      <c r="C63">
        <v>11.013128741822218</v>
      </c>
    </row>
    <row r="64" spans="1:3" x14ac:dyDescent="0.25">
      <c r="A64" t="s">
        <v>1434</v>
      </c>
      <c r="B64">
        <v>-0.39055318806548306</v>
      </c>
      <c r="C64">
        <v>11.026212870450868</v>
      </c>
    </row>
    <row r="65" spans="1:3" x14ac:dyDescent="0.25">
      <c r="A65" t="s">
        <v>1434</v>
      </c>
      <c r="B65">
        <v>-0.52302747782154346</v>
      </c>
      <c r="C65">
        <v>10.797658344006098</v>
      </c>
    </row>
    <row r="66" spans="1:3" x14ac:dyDescent="0.25">
      <c r="A66" t="s">
        <v>1434</v>
      </c>
      <c r="B66">
        <v>-0.53493121752259831</v>
      </c>
      <c r="C66">
        <v>10.822577671775463</v>
      </c>
    </row>
    <row r="67" spans="1:3" x14ac:dyDescent="0.25">
      <c r="A67" t="s">
        <v>1434</v>
      </c>
      <c r="B67">
        <v>-0.51203344117056337</v>
      </c>
      <c r="C67">
        <v>10.813816625326742</v>
      </c>
    </row>
    <row r="68" spans="1:3" x14ac:dyDescent="0.25">
      <c r="A68" t="s">
        <v>1434</v>
      </c>
      <c r="B68">
        <v>-0.51684826582750776</v>
      </c>
      <c r="C68">
        <v>10.830877864379874</v>
      </c>
    </row>
    <row r="69" spans="1:3" x14ac:dyDescent="0.25">
      <c r="A69" t="s">
        <v>1434</v>
      </c>
      <c r="B69">
        <v>-0.46151044700039912</v>
      </c>
      <c r="C69">
        <v>10.851973571122491</v>
      </c>
    </row>
    <row r="70" spans="1:3" x14ac:dyDescent="0.25">
      <c r="A70" t="s">
        <v>1434</v>
      </c>
      <c r="B70">
        <v>-0.37153300206534612</v>
      </c>
      <c r="C70">
        <v>10.245746321546331</v>
      </c>
    </row>
    <row r="71" spans="1:3" x14ac:dyDescent="0.25">
      <c r="A71" t="s">
        <v>1434</v>
      </c>
      <c r="B71">
        <v>-0.34919273830701236</v>
      </c>
      <c r="C71">
        <v>10.261183916617407</v>
      </c>
    </row>
    <row r="72" spans="1:3" x14ac:dyDescent="0.25">
      <c r="A72" t="s">
        <v>1434</v>
      </c>
      <c r="B72">
        <v>-0.31868732520323001</v>
      </c>
      <c r="C72">
        <v>10.285605779332439</v>
      </c>
    </row>
    <row r="73" spans="1:3" x14ac:dyDescent="0.25">
      <c r="A73" t="s">
        <v>1434</v>
      </c>
      <c r="B73">
        <v>-0.33291296702800793</v>
      </c>
      <c r="C73">
        <v>10.381782314436975</v>
      </c>
    </row>
    <row r="74" spans="1:3" x14ac:dyDescent="0.25">
      <c r="A74" t="s">
        <v>1434</v>
      </c>
      <c r="B74">
        <v>-0.20063559413412119</v>
      </c>
      <c r="C74">
        <v>10.435938068988472</v>
      </c>
    </row>
    <row r="75" spans="1:3" x14ac:dyDescent="0.25">
      <c r="A75" t="s">
        <v>1434</v>
      </c>
      <c r="B75">
        <v>-9.1635820995123619E-3</v>
      </c>
      <c r="C75">
        <v>10.952613768694098</v>
      </c>
    </row>
    <row r="76" spans="1:3" x14ac:dyDescent="0.25">
      <c r="A76" t="s">
        <v>1434</v>
      </c>
      <c r="B76">
        <v>-5.1582396418015826E-2</v>
      </c>
      <c r="C76">
        <v>10.981807253412063</v>
      </c>
    </row>
    <row r="77" spans="1:3" x14ac:dyDescent="0.25">
      <c r="A77" t="s">
        <v>1434</v>
      </c>
      <c r="B77">
        <v>-2.301844952468432E-2</v>
      </c>
      <c r="C77">
        <v>11.003720708904563</v>
      </c>
    </row>
    <row r="78" spans="1:3" x14ac:dyDescent="0.25">
      <c r="A78" t="s">
        <v>1434</v>
      </c>
      <c r="B78">
        <v>-5.1093296597344587E-2</v>
      </c>
      <c r="C78">
        <v>11.02133555261239</v>
      </c>
    </row>
    <row r="79" spans="1:3" x14ac:dyDescent="0.25">
      <c r="A79" t="s">
        <v>1434</v>
      </c>
      <c r="B79">
        <v>-5.8056421122370389E-2</v>
      </c>
      <c r="C79">
        <v>11.051445364002607</v>
      </c>
    </row>
    <row r="80" spans="1:3" x14ac:dyDescent="0.25">
      <c r="A80" t="s">
        <v>1434</v>
      </c>
      <c r="B80">
        <v>-0.28515488048878634</v>
      </c>
      <c r="C80">
        <v>10.752304850782098</v>
      </c>
    </row>
    <row r="81" spans="1:3" x14ac:dyDescent="0.25">
      <c r="A81" t="s">
        <v>1434</v>
      </c>
      <c r="B81">
        <v>-0.24283292764695669</v>
      </c>
      <c r="C81">
        <v>10.780533493833664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Facility List</vt:lpstr>
      <vt:lpstr>Landfill-County</vt:lpstr>
      <vt:lpstr>Region-County</vt:lpstr>
      <vt:lpstr>Municipal Waste</vt:lpstr>
      <vt:lpstr>inc_pop_den</vt:lpstr>
      <vt:lpstr>Work Data</vt:lpstr>
      <vt:lpstr>Descriptive Statistics</vt:lpstr>
      <vt:lpstr>For print</vt:lpstr>
      <vt:lpstr>BW Data</vt:lpstr>
      <vt:lpstr>Pivot</vt:lpstr>
      <vt:lpstr>PairWiase Data</vt:lpstr>
      <vt:lpstr>Group logs</vt:lpstr>
      <vt:lpstr>ANOVA</vt:lpstr>
      <vt:lpstr>Log Correlations</vt:lpstr>
      <vt:lpstr>correllog</vt:lpstr>
      <vt:lpstr>DS Chart</vt:lpstr>
      <vt:lpstr>Correlation Chart</vt:lpstr>
      <vt:lpstr>Box and Whisker</vt:lpstr>
      <vt:lpstr>Freq Dist Chart</vt:lpstr>
      <vt:lpstr>Overall LN Scat</vt:lpstr>
      <vt:lpstr>LN Group Scat</vt:lpstr>
      <vt:lpstr>inc_pop_den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Schulman, Regan</cp:lastModifiedBy>
  <dcterms:created xsi:type="dcterms:W3CDTF">2023-04-07T10:55:16Z</dcterms:created>
  <dcterms:modified xsi:type="dcterms:W3CDTF">2026-01-12T02:10:52Z</dcterms:modified>
</cp:coreProperties>
</file>